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123\Desktop\"/>
    </mc:Choice>
  </mc:AlternateContent>
  <bookViews>
    <workbookView xWindow="-105" yWindow="-105" windowWidth="19425" windowHeight="11025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5" i="2" l="1"/>
  <c r="D7" i="2"/>
  <c r="B12" i="2" l="1"/>
  <c r="F18" i="1" l="1"/>
  <c r="F19" i="1"/>
  <c r="F20" i="1"/>
  <c r="F21" i="1"/>
  <c r="F22" i="1"/>
  <c r="F23" i="1"/>
  <c r="F24" i="1"/>
  <c r="F25" i="1"/>
  <c r="F26" i="1"/>
  <c r="F27" i="1"/>
  <c r="F28" i="1"/>
  <c r="F17" i="1"/>
  <c r="G45" i="1" l="1"/>
  <c r="D43" i="1"/>
  <c r="D44" i="1"/>
  <c r="D45" i="1"/>
  <c r="D42" i="1"/>
  <c r="E43" i="1"/>
  <c r="E44" i="1"/>
  <c r="E45" i="1"/>
  <c r="E42" i="1"/>
  <c r="B43" i="1"/>
  <c r="B44" i="1"/>
  <c r="B45" i="1"/>
  <c r="B42" i="1"/>
  <c r="F43" i="1"/>
  <c r="F44" i="1"/>
  <c r="F45" i="1"/>
  <c r="F42" i="1"/>
  <c r="C43" i="1"/>
  <c r="C44" i="1"/>
  <c r="C45" i="1"/>
  <c r="C42" i="1"/>
  <c r="C15" i="2"/>
  <c r="C14" i="2"/>
  <c r="C13" i="2"/>
  <c r="C12" i="2"/>
  <c r="C11" i="2"/>
  <c r="F6" i="1"/>
  <c r="F7" i="1"/>
  <c r="E12" i="2" s="1"/>
  <c r="F8" i="1"/>
  <c r="F9" i="1"/>
  <c r="F11" i="1"/>
  <c r="E14" i="2" s="1"/>
  <c r="G44" i="1" s="1"/>
  <c r="F12" i="1"/>
  <c r="F13" i="1"/>
  <c r="F5" i="1"/>
  <c r="E11" i="1"/>
  <c r="F10" i="1"/>
  <c r="E13" i="2" s="1"/>
  <c r="G43" i="1" s="1"/>
  <c r="E10" i="1"/>
  <c r="D18" i="1"/>
  <c r="D17" i="1"/>
  <c r="G42" i="1" l="1"/>
  <c r="H42" i="1" s="1"/>
  <c r="H43" i="1"/>
  <c r="H44" i="1"/>
  <c r="H45" i="1"/>
  <c r="D10" i="1"/>
  <c r="D12" i="1"/>
  <c r="D11" i="1"/>
  <c r="D28" i="1"/>
  <c r="D19" i="1"/>
  <c r="D20" i="1"/>
  <c r="D21" i="1"/>
  <c r="D22" i="1"/>
  <c r="D23" i="1"/>
  <c r="D24" i="1"/>
  <c r="D25" i="1"/>
  <c r="D26" i="1"/>
  <c r="D27" i="1"/>
  <c r="D6" i="1"/>
  <c r="D7" i="1"/>
  <c r="D8" i="1"/>
  <c r="D9" i="1"/>
  <c r="D13" i="1"/>
  <c r="D5" i="1"/>
  <c r="H46" i="1" l="1"/>
</calcChain>
</file>

<file path=xl/sharedStrings.xml><?xml version="1.0" encoding="utf-8"?>
<sst xmlns="http://schemas.openxmlformats.org/spreadsheetml/2006/main" count="56" uniqueCount="42">
  <si>
    <t>WBS</t>
    <phoneticPr fontId="2" type="noConversion"/>
  </si>
  <si>
    <t>work</t>
    <phoneticPr fontId="2" type="noConversion"/>
  </si>
  <si>
    <t>시작일</t>
    <phoneticPr fontId="2" type="noConversion"/>
  </si>
  <si>
    <t>작업일수</t>
    <phoneticPr fontId="2" type="noConversion"/>
  </si>
  <si>
    <t>종료일</t>
    <phoneticPr fontId="2" type="noConversion"/>
  </si>
  <si>
    <t>진행현황</t>
    <phoneticPr fontId="2" type="noConversion"/>
  </si>
  <si>
    <t>진행일수</t>
    <phoneticPr fontId="2" type="noConversion"/>
  </si>
  <si>
    <t>착수 및 계획수립</t>
    <phoneticPr fontId="2" type="noConversion"/>
  </si>
  <si>
    <t>프로젝트 헌장</t>
    <phoneticPr fontId="2" type="noConversion"/>
  </si>
  <si>
    <t>요구명세서</t>
    <phoneticPr fontId="2" type="noConversion"/>
  </si>
  <si>
    <t>범위기술서</t>
    <phoneticPr fontId="2" type="noConversion"/>
  </si>
  <si>
    <t>중간보고</t>
    <phoneticPr fontId="2" type="noConversion"/>
  </si>
  <si>
    <t>설계</t>
    <phoneticPr fontId="2" type="noConversion"/>
  </si>
  <si>
    <t>구현</t>
    <phoneticPr fontId="2" type="noConversion"/>
  </si>
  <si>
    <t>인도</t>
    <phoneticPr fontId="2" type="noConversion"/>
  </si>
  <si>
    <t>프로젝트 종료</t>
    <phoneticPr fontId="2" type="noConversion"/>
  </si>
  <si>
    <t>데이터 확보 및 정제</t>
  </si>
  <si>
    <t>콘텐츠 UI 기획</t>
  </si>
  <si>
    <t>UI 디자인 및 구현</t>
  </si>
  <si>
    <t>회원 관리기능 구현</t>
  </si>
  <si>
    <t>식단 관리 기능 구현</t>
  </si>
  <si>
    <t>식품 비교함 기능 구현</t>
  </si>
  <si>
    <t>권고치 제한, 목표량 입력 기능 구현</t>
  </si>
  <si>
    <t>BMI와 운동량 계산 기능 구현</t>
  </si>
  <si>
    <t>운동 관리 기능 구현</t>
  </si>
  <si>
    <t>건강 기능 식품 섭취 알람 구현</t>
  </si>
  <si>
    <t>데이터 구조 설계</t>
    <phoneticPr fontId="2" type="noConversion"/>
  </si>
  <si>
    <t>DB 구현</t>
    <phoneticPr fontId="2" type="noConversion"/>
  </si>
  <si>
    <t>활동</t>
    <phoneticPr fontId="2" type="noConversion"/>
  </si>
  <si>
    <t>진행여부</t>
    <phoneticPr fontId="2" type="noConversion"/>
  </si>
  <si>
    <t>완료여부</t>
    <phoneticPr fontId="2" type="noConversion"/>
  </si>
  <si>
    <t>투입인원</t>
    <phoneticPr fontId="2" type="noConversion"/>
  </si>
  <si>
    <t>요구명세</t>
    <phoneticPr fontId="2" type="noConversion"/>
  </si>
  <si>
    <t>교육</t>
    <phoneticPr fontId="2" type="noConversion"/>
  </si>
  <si>
    <t>소요비용</t>
    <phoneticPr fontId="2" type="noConversion"/>
  </si>
  <si>
    <t>진행시간</t>
    <phoneticPr fontId="2" type="noConversion"/>
  </si>
  <si>
    <t>총비용</t>
    <phoneticPr fontId="2" type="noConversion"/>
  </si>
  <si>
    <t>천원(단위)</t>
    <phoneticPr fontId="2" type="noConversion"/>
  </si>
  <si>
    <t>팀원</t>
    <phoneticPr fontId="2" type="noConversion"/>
  </si>
  <si>
    <t>김민주</t>
    <phoneticPr fontId="2" type="noConversion"/>
  </si>
  <si>
    <t>권지현</t>
    <phoneticPr fontId="2" type="noConversion"/>
  </si>
  <si>
    <t>이보미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</si>
</sst>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&quot;₩&quot;* #,##0_-;\-&quot;₩&quot;* #,##0_-;_-&quot;₩&quot;* &quot;-&quot;_-;_-@_-"/>
    <numFmt numFmtId="176" formatCode="m&quot;월&quot;\ d&quot;일&quot;;@"/>
    <numFmt numFmtId="177" formatCode="0_ "/>
    <numFmt numFmtId="178" formatCode="#,##0_ "/>
  </numFmts>
  <fonts count="8"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0"/>
      <color rgb="FF00610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rgb="FF000000"/>
      <name val="Malgun Gothic"/>
      <family val="3"/>
      <charset val="129"/>
    </font>
    <font>
      <sz val="8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</fills>
  <borders count="7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4" fillId="3" borderId="2" applyNumberFormat="0" applyFont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2" borderId="0" xfId="1">
      <alignment vertical="center"/>
    </xf>
    <xf numFmtId="0" fontId="3" fillId="2" borderId="0" xfId="1" applyFont="1">
      <alignment vertical="center"/>
    </xf>
    <xf numFmtId="0" fontId="1" fillId="2" borderId="1" xfId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3" borderId="2" xfId="2" applyFont="1">
      <alignment vertical="center"/>
    </xf>
    <xf numFmtId="176" fontId="0" fillId="3" borderId="2" xfId="2" applyNumberFormat="1" applyFont="1">
      <alignment vertical="center"/>
    </xf>
    <xf numFmtId="9" fontId="0" fillId="3" borderId="2" xfId="2" applyNumberFormat="1" applyFont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3" borderId="2" xfId="2" applyNumberFormat="1" applyFont="1">
      <alignment vertical="center"/>
    </xf>
    <xf numFmtId="0" fontId="0" fillId="3" borderId="3" xfId="2" applyFont="1" applyBorder="1">
      <alignment vertical="center"/>
    </xf>
    <xf numFmtId="176" fontId="0" fillId="3" borderId="3" xfId="2" applyNumberFormat="1" applyFont="1" applyBorder="1">
      <alignment vertical="center"/>
    </xf>
    <xf numFmtId="177" fontId="0" fillId="3" borderId="2" xfId="2" applyNumberFormat="1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Border="1">
      <alignment vertical="center"/>
    </xf>
    <xf numFmtId="0" fontId="4" fillId="4" borderId="5" xfId="4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0" borderId="0" xfId="0" applyFont="1" applyAlignment="1">
      <alignment horizontal="right"/>
    </xf>
    <xf numFmtId="178" fontId="0" fillId="0" borderId="5" xfId="3" applyNumberFormat="1" applyFont="1" applyBorder="1" applyAlignment="1">
      <alignment horizontal="center" vertical="center"/>
    </xf>
    <xf numFmtId="178" fontId="0" fillId="0" borderId="6" xfId="3" applyNumberFormat="1" applyFont="1" applyFill="1" applyBorder="1" applyAlignment="1">
      <alignment horizontal="center" vertical="center"/>
    </xf>
  </cellXfs>
  <cellStyles count="5">
    <cellStyle name="60% - 강조색4" xfId="4" builtinId="44"/>
    <cellStyle name="메모" xfId="2" builtinId="10"/>
    <cellStyle name="좋음" xfId="1" builtinId="26"/>
    <cellStyle name="통화 [0]" xfId="3" builtinId="7"/>
    <cellStyle name="표준" xfId="0" builtinId="0"/>
  </cellStyles>
  <dxfs count="0"/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Sheet1!$B$4</c:f>
              <c:strCache>
                <c:ptCount val="1"/>
                <c:pt idx="0">
                  <c:v>시작일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1"/>
            <c:plus>
              <c:numRef>
                <c:f>Sheet1!$F$5:$F$13</c:f>
                <c:numCache>
                  <c:formatCode>General</c:formatCode>
                  <c:ptCount val="9"/>
                  <c:pt idx="0">
                    <c:v>6</c:v>
                  </c:pt>
                  <c:pt idx="1">
                    <c:v>7</c:v>
                  </c:pt>
                  <c:pt idx="2">
                    <c:v>30</c:v>
                  </c:pt>
                  <c:pt idx="3">
                    <c:v>2</c:v>
                  </c:pt>
                  <c:pt idx="4">
                    <c:v>0</c:v>
                  </c:pt>
                  <c:pt idx="5">
                    <c:v>23</c:v>
                  </c:pt>
                  <c:pt idx="6">
                    <c:v>30</c:v>
                  </c:pt>
                  <c:pt idx="7">
                    <c:v>0</c:v>
                  </c:pt>
                  <c:pt idx="8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857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Sheet1!$A$5:$A$13</c:f>
              <c:strCache>
                <c:ptCount val="9"/>
                <c:pt idx="0">
                  <c:v>착수 및 계획수립</c:v>
                </c:pt>
                <c:pt idx="1">
                  <c:v>프로젝트 헌장</c:v>
                </c:pt>
                <c:pt idx="2">
                  <c:v>요구명세서</c:v>
                </c:pt>
                <c:pt idx="3">
                  <c:v>범위기술서</c:v>
                </c:pt>
                <c:pt idx="4">
                  <c:v>중간보고</c:v>
                </c:pt>
                <c:pt idx="5">
                  <c:v>설계</c:v>
                </c:pt>
                <c:pt idx="6">
                  <c:v>구현</c:v>
                </c:pt>
                <c:pt idx="7">
                  <c:v>인도</c:v>
                </c:pt>
                <c:pt idx="8">
                  <c:v>프로젝트 종료</c:v>
                </c:pt>
              </c:strCache>
            </c:strRef>
          </c:cat>
          <c:val>
            <c:numRef>
              <c:f>Sheet1!$B$5:$B$13</c:f>
              <c:numCache>
                <c:formatCode>m"월"\ d"일";@</c:formatCode>
                <c:ptCount val="9"/>
                <c:pt idx="0">
                  <c:v>44652</c:v>
                </c:pt>
                <c:pt idx="1">
                  <c:v>44658</c:v>
                </c:pt>
                <c:pt idx="2">
                  <c:v>44665</c:v>
                </c:pt>
                <c:pt idx="3">
                  <c:v>44695</c:v>
                </c:pt>
                <c:pt idx="4">
                  <c:v>44707</c:v>
                </c:pt>
                <c:pt idx="5">
                  <c:v>44708</c:v>
                </c:pt>
                <c:pt idx="6">
                  <c:v>44727</c:v>
                </c:pt>
                <c:pt idx="7">
                  <c:v>44858</c:v>
                </c:pt>
                <c:pt idx="8">
                  <c:v>44865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F7-4E54-B681-4BBACD7616DE}"/>
            </c:ext>
          </c:extLst>
        </c:ser>
        <c:ser>
          <c:idx val="1"/>
          <c:order val="1"/>
          <c:tx>
            <c:strRef>
              <c:f>Sheet1!$C$4</c:f>
              <c:strCache>
                <c:ptCount val="1"/>
                <c:pt idx="0">
                  <c:v>작업일수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Sheet1!$A$5:$A$13</c:f>
              <c:strCache>
                <c:ptCount val="9"/>
                <c:pt idx="0">
                  <c:v>착수 및 계획수립</c:v>
                </c:pt>
                <c:pt idx="1">
                  <c:v>프로젝트 헌장</c:v>
                </c:pt>
                <c:pt idx="2">
                  <c:v>요구명세서</c:v>
                </c:pt>
                <c:pt idx="3">
                  <c:v>범위기술서</c:v>
                </c:pt>
                <c:pt idx="4">
                  <c:v>중간보고</c:v>
                </c:pt>
                <c:pt idx="5">
                  <c:v>설계</c:v>
                </c:pt>
                <c:pt idx="6">
                  <c:v>구현</c:v>
                </c:pt>
                <c:pt idx="7">
                  <c:v>인도</c:v>
                </c:pt>
                <c:pt idx="8">
                  <c:v>프로젝트 종료</c:v>
                </c:pt>
              </c:strCache>
            </c:strRef>
          </c:cat>
          <c:val>
            <c:numRef>
              <c:f>Sheet1!$C$5:$C$13</c:f>
              <c:numCache>
                <c:formatCode>0</c:formatCode>
                <c:ptCount val="9"/>
                <c:pt idx="0">
                  <c:v>6</c:v>
                </c:pt>
                <c:pt idx="1">
                  <c:v>7</c:v>
                </c:pt>
                <c:pt idx="2">
                  <c:v>30</c:v>
                </c:pt>
                <c:pt idx="3">
                  <c:v>7</c:v>
                </c:pt>
                <c:pt idx="4">
                  <c:v>1</c:v>
                </c:pt>
                <c:pt idx="5">
                  <c:v>27</c:v>
                </c:pt>
                <c:pt idx="6">
                  <c:v>137</c:v>
                </c:pt>
                <c:pt idx="7">
                  <c:v>7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F7-4E54-B681-4BBACD761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6326368"/>
        <c:axId val="726324704"/>
      </c:barChart>
      <c:catAx>
        <c:axId val="7263263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6324704"/>
        <c:crosses val="autoZero"/>
        <c:auto val="1"/>
        <c:lblAlgn val="ctr"/>
        <c:lblOffset val="100"/>
        <c:noMultiLvlLbl val="0"/>
      </c:catAx>
      <c:valAx>
        <c:axId val="726324704"/>
        <c:scaling>
          <c:orientation val="minMax"/>
          <c:max val="44870"/>
          <c:min val="4465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&quot;월&quot;\ d&quot;일&quot;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26326368"/>
        <c:crosses val="autoZero"/>
        <c:crossBetween val="between"/>
        <c:majorUnit val="3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Sheet1!$B$16</c:f>
              <c:strCache>
                <c:ptCount val="1"/>
                <c:pt idx="0">
                  <c:v>시작일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1"/>
            <c:plus>
              <c:numRef>
                <c:f>Sheet1!$F$17:$F$28</c:f>
                <c:numCache>
                  <c:formatCode>General</c:formatCode>
                  <c:ptCount val="12"/>
                  <c:pt idx="0">
                    <c:v>7</c:v>
                  </c:pt>
                  <c:pt idx="1">
                    <c:v>3</c:v>
                  </c:pt>
                  <c:pt idx="2">
                    <c:v>8</c:v>
                  </c:pt>
                  <c:pt idx="3">
                    <c:v>11</c:v>
                  </c:pt>
                  <c:pt idx="4">
                    <c:v>5</c:v>
                  </c:pt>
                  <c:pt idx="5">
                    <c:v>5</c:v>
                  </c:pt>
                  <c:pt idx="6">
                    <c:v>3</c:v>
                  </c:pt>
                  <c:pt idx="7">
                    <c:v>0</c:v>
                  </c:pt>
                  <c:pt idx="8">
                    <c:v>0</c:v>
                  </c:pt>
                  <c:pt idx="9">
                    <c:v>7</c:v>
                  </c:pt>
                  <c:pt idx="10">
                    <c:v>3</c:v>
                  </c:pt>
                  <c:pt idx="11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793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Sheet1!$A$17:$A$28</c:f>
              <c:strCache>
                <c:ptCount val="12"/>
                <c:pt idx="0">
                  <c:v>데이터 확보 및 정제</c:v>
                </c:pt>
                <c:pt idx="1">
                  <c:v>데이터 구조 설계</c:v>
                </c:pt>
                <c:pt idx="2">
                  <c:v>DB 구현</c:v>
                </c:pt>
                <c:pt idx="3">
                  <c:v>콘텐츠 UI 기획</c:v>
                </c:pt>
                <c:pt idx="4">
                  <c:v>UI 디자인 및 구현</c:v>
                </c:pt>
                <c:pt idx="5">
                  <c:v>회원 관리기능 구현</c:v>
                </c:pt>
                <c:pt idx="6">
                  <c:v>식단 관리 기능 구현</c:v>
                </c:pt>
                <c:pt idx="7">
                  <c:v>식품 비교함 기능 구현</c:v>
                </c:pt>
                <c:pt idx="8">
                  <c:v>권고치 제한, 목표량 입력 기능 구현</c:v>
                </c:pt>
                <c:pt idx="9">
                  <c:v>BMI와 운동량 계산 기능 구현</c:v>
                </c:pt>
                <c:pt idx="10">
                  <c:v>운동 관리 기능 구현</c:v>
                </c:pt>
                <c:pt idx="11">
                  <c:v>건강 기능 식품 섭취 알람 구현</c:v>
                </c:pt>
              </c:strCache>
            </c:strRef>
          </c:cat>
          <c:val>
            <c:numRef>
              <c:f>Sheet1!$B$17:$B$28</c:f>
              <c:numCache>
                <c:formatCode>m"월"\ d"일";@</c:formatCode>
                <c:ptCount val="12"/>
                <c:pt idx="0">
                  <c:v>44708</c:v>
                </c:pt>
                <c:pt idx="1">
                  <c:v>44708</c:v>
                </c:pt>
                <c:pt idx="2">
                  <c:v>44712</c:v>
                </c:pt>
                <c:pt idx="3">
                  <c:v>44714</c:v>
                </c:pt>
                <c:pt idx="4">
                  <c:v>44727</c:v>
                </c:pt>
                <c:pt idx="5">
                  <c:v>44747</c:v>
                </c:pt>
                <c:pt idx="6">
                  <c:v>44762</c:v>
                </c:pt>
                <c:pt idx="7">
                  <c:v>44792</c:v>
                </c:pt>
                <c:pt idx="8">
                  <c:v>44807</c:v>
                </c:pt>
                <c:pt idx="9">
                  <c:v>44815</c:v>
                </c:pt>
                <c:pt idx="10">
                  <c:v>44830</c:v>
                </c:pt>
                <c:pt idx="11">
                  <c:v>44851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8F-4EC5-9946-171C4E19E27F}"/>
            </c:ext>
          </c:extLst>
        </c:ser>
        <c:ser>
          <c:idx val="1"/>
          <c:order val="1"/>
          <c:tx>
            <c:strRef>
              <c:f>Sheet1!$C$16</c:f>
              <c:strCache>
                <c:ptCount val="1"/>
                <c:pt idx="0">
                  <c:v>작업일수</c:v>
                </c:pt>
              </c:strCache>
            </c:strRef>
          </c:tx>
          <c:spPr>
            <a:solidFill>
              <a:srgbClr val="339966"/>
            </a:solidFill>
            <a:ln>
              <a:noFill/>
            </a:ln>
            <a:effectLst/>
          </c:spPr>
          <c:invertIfNegative val="0"/>
          <c:cat>
            <c:strRef>
              <c:f>Sheet1!$A$17:$A$28</c:f>
              <c:strCache>
                <c:ptCount val="12"/>
                <c:pt idx="0">
                  <c:v>데이터 확보 및 정제</c:v>
                </c:pt>
                <c:pt idx="1">
                  <c:v>데이터 구조 설계</c:v>
                </c:pt>
                <c:pt idx="2">
                  <c:v>DB 구현</c:v>
                </c:pt>
                <c:pt idx="3">
                  <c:v>콘텐츠 UI 기획</c:v>
                </c:pt>
                <c:pt idx="4">
                  <c:v>UI 디자인 및 구현</c:v>
                </c:pt>
                <c:pt idx="5">
                  <c:v>회원 관리기능 구현</c:v>
                </c:pt>
                <c:pt idx="6">
                  <c:v>식단 관리 기능 구현</c:v>
                </c:pt>
                <c:pt idx="7">
                  <c:v>식품 비교함 기능 구현</c:v>
                </c:pt>
                <c:pt idx="8">
                  <c:v>권고치 제한, 목표량 입력 기능 구현</c:v>
                </c:pt>
                <c:pt idx="9">
                  <c:v>BMI와 운동량 계산 기능 구현</c:v>
                </c:pt>
                <c:pt idx="10">
                  <c:v>운동 관리 기능 구현</c:v>
                </c:pt>
                <c:pt idx="11">
                  <c:v>건강 기능 식품 섭취 알람 구현</c:v>
                </c:pt>
              </c:strCache>
            </c:strRef>
          </c:cat>
          <c:val>
            <c:numRef>
              <c:f>Sheet1!$C$17:$C$28</c:f>
              <c:numCache>
                <c:formatCode>General</c:formatCode>
                <c:ptCount val="12"/>
                <c:pt idx="0">
                  <c:v>7</c:v>
                </c:pt>
                <c:pt idx="1">
                  <c:v>4</c:v>
                </c:pt>
                <c:pt idx="2">
                  <c:v>10</c:v>
                </c:pt>
                <c:pt idx="3">
                  <c:v>14</c:v>
                </c:pt>
                <c:pt idx="4">
                  <c:v>20</c:v>
                </c:pt>
                <c:pt idx="5">
                  <c:v>14</c:v>
                </c:pt>
                <c:pt idx="6">
                  <c:v>28</c:v>
                </c:pt>
                <c:pt idx="7">
                  <c:v>14</c:v>
                </c:pt>
                <c:pt idx="8">
                  <c:v>7</c:v>
                </c:pt>
                <c:pt idx="9">
                  <c:v>14</c:v>
                </c:pt>
                <c:pt idx="10">
                  <c:v>21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8F-4EC5-9946-171C4E19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6828272"/>
        <c:axId val="776826608"/>
      </c:barChart>
      <c:catAx>
        <c:axId val="7768282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6826608"/>
        <c:crosses val="autoZero"/>
        <c:auto val="1"/>
        <c:lblAlgn val="ctr"/>
        <c:lblOffset val="100"/>
        <c:noMultiLvlLbl val="0"/>
      </c:catAx>
      <c:valAx>
        <c:axId val="776826608"/>
        <c:scaling>
          <c:orientation val="minMax"/>
          <c:max val="44860"/>
          <c:min val="447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&quot;월&quot;\ d&quot;일&quot;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682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C$5" max="12" min="1" page="10" val="6"/>
</file>

<file path=xl/ctrlProps/ctrlProp2.xml><?xml version="1.0" encoding="utf-8"?>
<formControlPr xmlns="http://schemas.microsoft.com/office/spreadsheetml/2009/9/main" objectType="Spin" dx="31" fmlaLink="$C$6" max="14" min="1" page="10" val="7"/>
</file>

<file path=xl/ctrlProps/ctrlProp3.xml><?xml version="1.0" encoding="utf-8"?>
<formControlPr xmlns="http://schemas.microsoft.com/office/spreadsheetml/2009/9/main" objectType="Spin" dx="31" fmlaLink="$C$7" max="60" min="1" page="10" val="30"/>
</file>

<file path=xl/ctrlProps/ctrlProp4.xml><?xml version="1.0" encoding="utf-8"?>
<formControlPr xmlns="http://schemas.microsoft.com/office/spreadsheetml/2009/9/main" objectType="Spin" dx="31" fmlaLink="$C$8" max="14" min="1" page="10" val="7"/>
</file>

<file path=xl/ctrlProps/ctrlProp5.xml><?xml version="1.0" encoding="utf-8"?>
<formControlPr xmlns="http://schemas.microsoft.com/office/spreadsheetml/2009/9/main" objectType="Spin" dx="31" fmlaLink="$C$9" max="2" min="1" page="10"/>
</file>

<file path=xl/ctrlProps/ctrlProp6.xml><?xml version="1.0" encoding="utf-8"?>
<formControlPr xmlns="http://schemas.microsoft.com/office/spreadsheetml/2009/9/main" objectType="Spin" dx="31" fmlaLink="$C$10" max="50" min="1" page="10" val="27"/>
</file>

<file path=xl/ctrlProps/ctrlProp7.xml><?xml version="1.0" encoding="utf-8"?>
<formControlPr xmlns="http://schemas.microsoft.com/office/spreadsheetml/2009/9/main" objectType="Spin" dx="31" fmlaLink="$C$11" max="274" min="1" page="10" val="137"/>
</file>

<file path=xl/ctrlProps/ctrlProp8.xml><?xml version="1.0" encoding="utf-8"?>
<formControlPr xmlns="http://schemas.microsoft.com/office/spreadsheetml/2009/9/main" objectType="Spin" dx="31" fmlaLink="$C$12" max="14" min="1" page="10" val="7"/>
</file>

<file path=xl/ctrlProps/ctrlProp9.xml><?xml version="1.0" encoding="utf-8"?>
<formControlPr xmlns="http://schemas.microsoft.com/office/spreadsheetml/2009/9/main" objectType="Spin" dx="31" fmlaLink="$C$13" max="2" min="1" page="10"/>
</file>

<file path=xl/ctrlProps/ctrlProp10.xml><?xml version="1.0" encoding="utf-8"?>
<formControlPr xmlns="http://schemas.microsoft.com/office/spreadsheetml/2009/9/main" objectType="Spin" dx="31" fmlaLink="$C$17" max="14" min="1" page="10" val="7"/>
</file>

<file path=xl/ctrlProps/ctrlProp11.xml><?xml version="1.0" encoding="utf-8"?>
<formControlPr xmlns="http://schemas.microsoft.com/office/spreadsheetml/2009/9/main" objectType="Spin" dx="31" fmlaLink="$C$18" max="8" min="1" page="10" val="4"/>
</file>

<file path=xl/ctrlProps/ctrlProp12.xml><?xml version="1.0" encoding="utf-8"?>
<formControlPr xmlns="http://schemas.microsoft.com/office/spreadsheetml/2009/9/main" objectType="Spin" dx="31" fmlaLink="$C$19" max="20" min="1" page="10" val="10"/>
</file>

<file path=xl/ctrlProps/ctrlProp13.xml><?xml version="1.0" encoding="utf-8"?>
<formControlPr xmlns="http://schemas.microsoft.com/office/spreadsheetml/2009/9/main" objectType="Spin" dx="31" fmlaLink="$C$20" max="28" min="1" page="10" val="14"/>
</file>

<file path=xl/ctrlProps/ctrlProp14.xml><?xml version="1.0" encoding="utf-8"?>
<formControlPr xmlns="http://schemas.microsoft.com/office/spreadsheetml/2009/9/main" objectType="Spin" dx="31" fmlaLink="$C$21" max="40" min="1" page="10" val="20"/>
</file>

<file path=xl/ctrlProps/ctrlProp15.xml><?xml version="1.0" encoding="utf-8"?>
<formControlPr xmlns="http://schemas.microsoft.com/office/spreadsheetml/2009/9/main" objectType="Spin" dx="31" fmlaLink="$C$22" max="28" min="1" page="10" val="14"/>
</file>

<file path=xl/ctrlProps/ctrlProp16.xml><?xml version="1.0" encoding="utf-8"?>
<formControlPr xmlns="http://schemas.microsoft.com/office/spreadsheetml/2009/9/main" objectType="Spin" dx="31" fmlaLink="$C$23" max="60" min="1" page="10" val="28"/>
</file>

<file path=xl/ctrlProps/ctrlProp17.xml><?xml version="1.0" encoding="utf-8"?>
<formControlPr xmlns="http://schemas.microsoft.com/office/spreadsheetml/2009/9/main" objectType="Spin" dx="31" fmlaLink="$C$24" max="28" min="1" page="10" val="14"/>
</file>

<file path=xl/ctrlProps/ctrlProp18.xml><?xml version="1.0" encoding="utf-8"?>
<formControlPr xmlns="http://schemas.microsoft.com/office/spreadsheetml/2009/9/main" objectType="Spin" dx="31" fmlaLink="$C$25" max="14" min="1" page="10" val="7"/>
</file>

<file path=xl/ctrlProps/ctrlProp19.xml><?xml version="1.0" encoding="utf-8"?>
<formControlPr xmlns="http://schemas.microsoft.com/office/spreadsheetml/2009/9/main" objectType="Spin" dx="31" fmlaLink="$C$26" max="28" min="1" page="10" val="14"/>
</file>

<file path=xl/ctrlProps/ctrlProp20.xml><?xml version="1.0" encoding="utf-8"?>
<formControlPr xmlns="http://schemas.microsoft.com/office/spreadsheetml/2009/9/main" objectType="Spin" dx="31" fmlaLink="$C$27" max="42" min="1" page="10" val="21"/>
</file>

<file path=xl/ctrlProps/ctrlProp21.xml><?xml version="1.0" encoding="utf-8"?>
<formControlPr xmlns="http://schemas.microsoft.com/office/spreadsheetml/2009/9/main" objectType="Spin" dx="31" fmlaLink="$C$28" max="14" min="1" page="10" val="7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CheckBox" checked="Checked" fmlaLink="Sheet2!$D$6" lockText="1" noThreeD="1"/>
</file>

<file path=xl/ctrlProps/ctrlProp24.xml><?xml version="1.0" encoding="utf-8"?>
<formControlPr xmlns="http://schemas.microsoft.com/office/spreadsheetml/2009/9/main" objectType="CheckBox" checked="Checked" fmlaLink="Sheet2!$D$7" lockText="1" noThreeD="1"/>
</file>

<file path=xl/ctrlProps/ctrlProp25.xml><?xml version="1.0" encoding="utf-8"?>
<formControlPr xmlns="http://schemas.microsoft.com/office/spreadsheetml/2009/9/main" objectType="CheckBox" checked="Checked" fmlaLink="Sheet2!$D$8" lockText="1" noThreeD="1"/>
</file>

<file path=xl/ctrlProps/ctrlProp26.xml><?xml version="1.0" encoding="utf-8"?>
<formControlPr xmlns="http://schemas.microsoft.com/office/spreadsheetml/2009/9/main" objectType="CheckBox" checked="Checked" fmlaLink="Sheet2!$D$9" lockText="1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CheckBox" checked="Checked" fmlaLink="Sheet2!$E$6" lockText="1" noThreeD="1"/>
</file>

<file path=xl/ctrlProps/ctrlProp29.xml><?xml version="1.0" encoding="utf-8"?>
<formControlPr xmlns="http://schemas.microsoft.com/office/spreadsheetml/2009/9/main" objectType="CheckBox" fmlaLink="Sheet2!$E$7" lockText="1" noThreeD="1"/>
</file>

<file path=xl/ctrlProps/ctrlProp30.xml><?xml version="1.0" encoding="utf-8"?>
<formControlPr xmlns="http://schemas.microsoft.com/office/spreadsheetml/2009/9/main" objectType="CheckBox" fmlaLink="Sheet2!$E$8" lockText="1" noThreeD="1"/>
</file>

<file path=xl/ctrlProps/ctrlProp31.xml><?xml version="1.0" encoding="utf-8"?>
<formControlPr xmlns="http://schemas.microsoft.com/office/spreadsheetml/2009/9/main" objectType="CheckBox" fmlaLink="Sheet2!$E$9" lockText="1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Drop" dropStyle="combo" dx="22" fmlaLink="Sheet2!$F$6" fmlaRange="Sheet2!$H$5:$H$7" noThreeD="1" sel="2" val="0"/>
</file>

<file path=xl/ctrlProps/ctrlProp34.xml><?xml version="1.0" encoding="utf-8"?>
<formControlPr xmlns="http://schemas.microsoft.com/office/spreadsheetml/2009/9/main" objectType="Drop" dropStyle="combo" dx="22" fmlaLink="Sheet2!$F$7" fmlaRange="Sheet2!$H$5:$H$7" noThreeD="1" sel="3" val="0"/>
</file>

<file path=xl/ctrlProps/ctrlProp35.xml><?xml version="1.0" encoding="utf-8"?>
<formControlPr xmlns="http://schemas.microsoft.com/office/spreadsheetml/2009/9/main" objectType="Drop" dropStyle="combo" dx="22" fmlaLink="Sheet2!$F$8" fmlaRange="Sheet2!$H$5:$H$7" noThreeD="1" sel="3" val="0"/>
</file>

<file path=xl/ctrlProps/ctrlProp36.xml><?xml version="1.0" encoding="utf-8"?>
<formControlPr xmlns="http://schemas.microsoft.com/office/spreadsheetml/2009/9/main" objectType="Drop" dropStyle="combo" dx="22" fmlaLink="Sheet2!$F$9" fmlaRange="Sheet2!$H$5:$H$7" noThreeD="1" sel="1" val="0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Label" lockText="1"/>
</file>

<file path=xl/ctrlProps/ctrlProp39.xml><?xml version="1.0" encoding="utf-8"?>
<formControlPr xmlns="http://schemas.microsoft.com/office/spreadsheetml/2009/9/main" objectType="Label" lockText="1"/>
</file>

<file path=xl/ctrlProps/ctrlProp40.xml><?xml version="1.0" encoding="utf-8"?>
<formControlPr xmlns="http://schemas.microsoft.com/office/spreadsheetml/2009/9/main" objectType="Drop" dropStyle="combo" dx="16" fmlaLink="Sheet2!$A$12" fmlaRange="Sheet2!$A$13:$A$15" noThreeD="1" sel="1" val="0"/>
</file>

<file path=xl/ctrlProps/ctrlProp41.xml><?xml version="1.0" encoding="utf-8"?>
<formControlPr xmlns="http://schemas.microsoft.com/office/spreadsheetml/2009/9/main" objectType="Label" fmlaTxbx="Sheet2!B12" lockText="1"/>
</file>

<file path=xl/ctrlProps/ctrlProp42.xml><?xml version="1.0" encoding="utf-8"?>
<formControlPr xmlns="http://schemas.microsoft.com/office/spreadsheetml/2009/9/main" objectType="Label" lockText="1"/>
</file>

<file path=xl/ctrlProps/ctrlProp43.xml><?xml version="1.0" encoding="utf-8"?>
<formControlPr xmlns="http://schemas.microsoft.com/office/spreadsheetml/2009/9/main" objectType="Drop" dropStyle="combo" dx="16" fmlaLink="Sheet2!$A$16" fmlaRange="Sheet2!$A$13:$A$15" noThreeD="1" sel="2" val="0"/>
</file>

<file path=xl/ctrlProps/ctrlProp44.xml><?xml version="1.0" encoding="utf-8"?>
<formControlPr xmlns="http://schemas.microsoft.com/office/spreadsheetml/2009/9/main" objectType="Label" lockText="1"/>
</file>

<file path=xl/ctrlProps/ctrlProp45.xml><?xml version="1.0" encoding="utf-8"?>
<formControlPr xmlns="http://schemas.microsoft.com/office/spreadsheetml/2009/9/main" objectType="Drop" dropStyle="combo" dx="16" fmlaLink="Sheet2!$A$17" fmlaRange="Sheet2!$A$13:$A$15" noThreeD="1" sel="3" val="0"/>
</file>

<file path=xl/ctrlProps/ctrlProp46.xml><?xml version="1.0" encoding="utf-8"?>
<formControlPr xmlns="http://schemas.microsoft.com/office/spreadsheetml/2009/9/main" objectType="Label" lockText="1"/>
</file>

<file path=xl/ctrlProps/ctrlProp47.xml><?xml version="1.0" encoding="utf-8"?>
<formControlPr xmlns="http://schemas.microsoft.com/office/spreadsheetml/2009/9/main" objectType="Drop" dropStyle="combo" dx="16" fmlaLink="Sheet2!$A$18" fmlaRange="Sheet2!$A$13:$A$15" noThreeD="1" sel="2" val="0"/>
</file>

<file path=xl/ctrlProps/ctrlProp48.xml><?xml version="1.0" encoding="utf-8"?>
<formControlPr xmlns="http://schemas.microsoft.com/office/spreadsheetml/2009/9/main" objectType="Label" lockText="1"/>
</file>

<file path=xl/ctrlProps/ctrlProp49.xml><?xml version="1.0" encoding="utf-8"?>
<formControlPr xmlns="http://schemas.microsoft.com/office/spreadsheetml/2009/9/main" objectType="Drop" dropStyle="combo" dx="16" fmlaLink="Sheet2!$A$19" fmlaRange="Sheet2!$A$13:$A$15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8282</xdr:colOff>
      <xdr:row>2</xdr:row>
      <xdr:rowOff>16566</xdr:rowOff>
    </xdr:from>
    <xdr:to>
      <xdr:col>15</xdr:col>
      <xdr:colOff>8283</xdr:colOff>
      <xdr:row>13</xdr:row>
      <xdr:rowOff>8282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685799</xdr:colOff>
      <xdr:row>13</xdr:row>
      <xdr:rowOff>204787</xdr:rowOff>
    </xdr:from>
    <xdr:to>
      <xdr:col>17</xdr:col>
      <xdr:colOff>0</xdr:colOff>
      <xdr:row>28</xdr:row>
      <xdr:rowOff>14287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3</xdr:row>
          <xdr:rowOff>209550</xdr:rowOff>
        </xdr:from>
        <xdr:to>
          <xdr:col>3</xdr:col>
          <xdr:colOff>0</xdr:colOff>
          <xdr:row>4</xdr:row>
          <xdr:rowOff>200025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4</xdr:row>
          <xdr:rowOff>200025</xdr:rowOff>
        </xdr:from>
        <xdr:to>
          <xdr:col>3</xdr:col>
          <xdr:colOff>0</xdr:colOff>
          <xdr:row>5</xdr:row>
          <xdr:rowOff>200025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6</xdr:row>
          <xdr:rowOff>200025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8</xdr:row>
          <xdr:rowOff>9525</xdr:rowOff>
        </xdr:from>
        <xdr:to>
          <xdr:col>3</xdr:col>
          <xdr:colOff>0</xdr:colOff>
          <xdr:row>9</xdr:row>
          <xdr:rowOff>9525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9</xdr:row>
          <xdr:rowOff>200025</xdr:rowOff>
        </xdr:from>
        <xdr:to>
          <xdr:col>3</xdr:col>
          <xdr:colOff>0</xdr:colOff>
          <xdr:row>10</xdr:row>
          <xdr:rowOff>200025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11</xdr:row>
          <xdr:rowOff>9525</xdr:rowOff>
        </xdr:from>
        <xdr:to>
          <xdr:col>3</xdr:col>
          <xdr:colOff>0</xdr:colOff>
          <xdr:row>12</xdr:row>
          <xdr:rowOff>9525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16</xdr:row>
          <xdr:rowOff>9525</xdr:rowOff>
        </xdr:from>
        <xdr:to>
          <xdr:col>3</xdr:col>
          <xdr:colOff>0</xdr:colOff>
          <xdr:row>17</xdr:row>
          <xdr:rowOff>9525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17</xdr:row>
          <xdr:rowOff>9525</xdr:rowOff>
        </xdr:from>
        <xdr:to>
          <xdr:col>3</xdr:col>
          <xdr:colOff>0</xdr:colOff>
          <xdr:row>18</xdr:row>
          <xdr:rowOff>9525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037" name="Spinne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1038" name="Spinne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20</xdr:row>
          <xdr:rowOff>9525</xdr:rowOff>
        </xdr:from>
        <xdr:to>
          <xdr:col>3</xdr:col>
          <xdr:colOff>0</xdr:colOff>
          <xdr:row>21</xdr:row>
          <xdr:rowOff>9525</xdr:rowOff>
        </xdr:to>
        <xdr:sp macro="" textlink="">
          <xdr:nvSpPr>
            <xdr:cNvPr id="1039" name="Spinne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21</xdr:row>
          <xdr:rowOff>9525</xdr:rowOff>
        </xdr:from>
        <xdr:to>
          <xdr:col>3</xdr:col>
          <xdr:colOff>0</xdr:colOff>
          <xdr:row>22</xdr:row>
          <xdr:rowOff>9525</xdr:rowOff>
        </xdr:to>
        <xdr:sp macro="" textlink="">
          <xdr:nvSpPr>
            <xdr:cNvPr id="1040" name="Spinne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21</xdr:row>
          <xdr:rowOff>209550</xdr:rowOff>
        </xdr:from>
        <xdr:to>
          <xdr:col>3</xdr:col>
          <xdr:colOff>0</xdr:colOff>
          <xdr:row>22</xdr:row>
          <xdr:rowOff>209550</xdr:rowOff>
        </xdr:to>
        <xdr:sp macro="" textlink="">
          <xdr:nvSpPr>
            <xdr:cNvPr id="1041" name="Spinne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22</xdr:row>
          <xdr:rowOff>209550</xdr:rowOff>
        </xdr:from>
        <xdr:to>
          <xdr:col>3</xdr:col>
          <xdr:colOff>0</xdr:colOff>
          <xdr:row>23</xdr:row>
          <xdr:rowOff>209550</xdr:rowOff>
        </xdr:to>
        <xdr:sp macro="" textlink="">
          <xdr:nvSpPr>
            <xdr:cNvPr id="1042" name="Spinner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23</xdr:row>
          <xdr:rowOff>209550</xdr:rowOff>
        </xdr:from>
        <xdr:to>
          <xdr:col>3</xdr:col>
          <xdr:colOff>0</xdr:colOff>
          <xdr:row>24</xdr:row>
          <xdr:rowOff>209550</xdr:rowOff>
        </xdr:to>
        <xdr:sp macro="" textlink="">
          <xdr:nvSpPr>
            <xdr:cNvPr id="1043" name="Spinne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24</xdr:row>
          <xdr:rowOff>209550</xdr:rowOff>
        </xdr:from>
        <xdr:to>
          <xdr:col>3</xdr:col>
          <xdr:colOff>0</xdr:colOff>
          <xdr:row>25</xdr:row>
          <xdr:rowOff>209550</xdr:rowOff>
        </xdr:to>
        <xdr:sp macro="" textlink="">
          <xdr:nvSpPr>
            <xdr:cNvPr id="1044" name="Spinner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25</xdr:row>
          <xdr:rowOff>209550</xdr:rowOff>
        </xdr:from>
        <xdr:to>
          <xdr:col>3</xdr:col>
          <xdr:colOff>0</xdr:colOff>
          <xdr:row>26</xdr:row>
          <xdr:rowOff>209550</xdr:rowOff>
        </xdr:to>
        <xdr:sp macro="" textlink="">
          <xdr:nvSpPr>
            <xdr:cNvPr id="1045" name="Spinner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27</xdr:row>
          <xdr:rowOff>9525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046" name="Spinner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30</xdr:row>
          <xdr:rowOff>9525</xdr:rowOff>
        </xdr:from>
        <xdr:to>
          <xdr:col>3</xdr:col>
          <xdr:colOff>819150</xdr:colOff>
          <xdr:row>39</xdr:row>
          <xdr:rowOff>0</xdr:rowOff>
        </xdr:to>
        <xdr:sp macro="" textlink="">
          <xdr:nvSpPr>
            <xdr:cNvPr id="1062" name="Group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5E123D6D-47E0-4194-85F5-DE8DD80CF9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진행여부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31</xdr:row>
          <xdr:rowOff>95250</xdr:rowOff>
        </xdr:from>
        <xdr:to>
          <xdr:col>2</xdr:col>
          <xdr:colOff>285750</xdr:colOff>
          <xdr:row>32</xdr:row>
          <xdr:rowOff>133350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8D7A5EE2-A135-4BE0-BD77-F22EEC706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요구명세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33</xdr:row>
          <xdr:rowOff>85725</xdr:rowOff>
        </xdr:from>
        <xdr:to>
          <xdr:col>2</xdr:col>
          <xdr:colOff>190500</xdr:colOff>
          <xdr:row>34</xdr:row>
          <xdr:rowOff>123825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7D40F9F8-F664-4D0B-9A1B-CA52A890CB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설계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35</xdr:row>
          <xdr:rowOff>85725</xdr:rowOff>
        </xdr:from>
        <xdr:to>
          <xdr:col>2</xdr:col>
          <xdr:colOff>190500</xdr:colOff>
          <xdr:row>36</xdr:row>
          <xdr:rowOff>123825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873E53D4-7243-498A-AF4D-66B96622F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구현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37</xdr:row>
          <xdr:rowOff>76200</xdr:rowOff>
        </xdr:from>
        <xdr:to>
          <xdr:col>2</xdr:col>
          <xdr:colOff>190500</xdr:colOff>
          <xdr:row>38</xdr:row>
          <xdr:rowOff>114300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B251CF17-E945-42B0-B9B7-EF391DEE2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교육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30</xdr:row>
          <xdr:rowOff>9525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1067" name="Group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980C7645-C98D-4CC1-867E-7B8668EB3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완료여부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31</xdr:row>
          <xdr:rowOff>95250</xdr:rowOff>
        </xdr:from>
        <xdr:to>
          <xdr:col>9</xdr:col>
          <xdr:colOff>133350</xdr:colOff>
          <xdr:row>32</xdr:row>
          <xdr:rowOff>133350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92DC34EC-AE33-4CC2-BDD2-84A8D68BB2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요구명세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33</xdr:row>
          <xdr:rowOff>85725</xdr:rowOff>
        </xdr:from>
        <xdr:to>
          <xdr:col>9</xdr:col>
          <xdr:colOff>47625</xdr:colOff>
          <xdr:row>34</xdr:row>
          <xdr:rowOff>123825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56742E14-823C-48A3-BEB7-410F8AFA3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설계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35</xdr:row>
          <xdr:rowOff>85725</xdr:rowOff>
        </xdr:from>
        <xdr:to>
          <xdr:col>9</xdr:col>
          <xdr:colOff>38100</xdr:colOff>
          <xdr:row>36</xdr:row>
          <xdr:rowOff>123825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B46B1B02-2707-46CA-B726-5E89563261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구현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37</xdr:row>
          <xdr:rowOff>76200</xdr:rowOff>
        </xdr:from>
        <xdr:to>
          <xdr:col>9</xdr:col>
          <xdr:colOff>38100</xdr:colOff>
          <xdr:row>38</xdr:row>
          <xdr:rowOff>114300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359379A8-DD12-4EF1-B8DD-ACBEC81B9D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교육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30</xdr:row>
          <xdr:rowOff>0</xdr:rowOff>
        </xdr:from>
        <xdr:to>
          <xdr:col>7</xdr:col>
          <xdr:colOff>295275</xdr:colOff>
          <xdr:row>38</xdr:row>
          <xdr:rowOff>209550</xdr:rowOff>
        </xdr:to>
        <xdr:sp macro="" textlink="">
          <xdr:nvSpPr>
            <xdr:cNvPr id="1072" name="Group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BBF9D3D2-8B6A-4569-8DE1-69A5BB14F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투입인원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31</xdr:row>
          <xdr:rowOff>114300</xdr:rowOff>
        </xdr:from>
        <xdr:to>
          <xdr:col>7</xdr:col>
          <xdr:colOff>123825</xdr:colOff>
          <xdr:row>32</xdr:row>
          <xdr:rowOff>142875</xdr:rowOff>
        </xdr:to>
        <xdr:sp macro="" textlink="">
          <xdr:nvSpPr>
            <xdr:cNvPr id="1073" name="Drop Dow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9D598211-7D06-4D67-9F1A-650FB0266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33</xdr:row>
          <xdr:rowOff>152400</xdr:rowOff>
        </xdr:from>
        <xdr:to>
          <xdr:col>7</xdr:col>
          <xdr:colOff>123825</xdr:colOff>
          <xdr:row>34</xdr:row>
          <xdr:rowOff>180975</xdr:rowOff>
        </xdr:to>
        <xdr:sp macro="" textlink="">
          <xdr:nvSpPr>
            <xdr:cNvPr id="1074" name="Drop Dow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4C9D9752-58D7-46B3-80BA-5266581BA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35</xdr:row>
          <xdr:rowOff>161925</xdr:rowOff>
        </xdr:from>
        <xdr:to>
          <xdr:col>7</xdr:col>
          <xdr:colOff>123825</xdr:colOff>
          <xdr:row>36</xdr:row>
          <xdr:rowOff>190500</xdr:rowOff>
        </xdr:to>
        <xdr:sp macro="" textlink="">
          <xdr:nvSpPr>
            <xdr:cNvPr id="1075" name="Drop Dow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4F28FC7-A845-49FD-B464-1F675B42E7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37</xdr:row>
          <xdr:rowOff>133350</xdr:rowOff>
        </xdr:from>
        <xdr:to>
          <xdr:col>7</xdr:col>
          <xdr:colOff>123825</xdr:colOff>
          <xdr:row>38</xdr:row>
          <xdr:rowOff>161925</xdr:rowOff>
        </xdr:to>
        <xdr:sp macro="" textlink="">
          <xdr:nvSpPr>
            <xdr:cNvPr id="1076" name="Drop Dow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29B8B5A4-846D-458F-8909-70780BA4B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2444353</xdr:colOff>
      <xdr:row>0</xdr:row>
      <xdr:rowOff>208359</xdr:rowOff>
    </xdr:from>
    <xdr:to>
      <xdr:col>4</xdr:col>
      <xdr:colOff>7144</xdr:colOff>
      <xdr:row>2</xdr:row>
      <xdr:rowOff>0</xdr:rowOff>
    </xdr:to>
    <xdr:sp macro="" textlink="$H$46">
      <xdr:nvSpPr>
        <xdr:cNvPr id="3" name="직사각형 2"/>
        <xdr:cNvSpPr/>
      </xdr:nvSpPr>
      <xdr:spPr>
        <a:xfrm>
          <a:off x="2444353" y="208359"/>
          <a:ext cx="2271713" cy="398860"/>
        </a:xfrm>
        <a:prstGeom prst="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AA3EA6D-391E-427C-9CA3-C9F43B9E4868}" type="TxLink">
            <a:rPr lang="en-US" altLang="en-US" sz="2400" b="0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72,180 </a:t>
          </a:fld>
          <a:endParaRPr lang="ko-KR" alt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29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080" name="Group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구성원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31</xdr:row>
          <xdr:rowOff>0</xdr:rowOff>
        </xdr:from>
        <xdr:to>
          <xdr:col>0</xdr:col>
          <xdr:colOff>1143000</xdr:colOff>
          <xdr:row>31</xdr:row>
          <xdr:rowOff>200025</xdr:rowOff>
        </xdr:to>
        <xdr:sp macro="" textlink="">
          <xdr:nvSpPr>
            <xdr:cNvPr id="1084" name="Label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29</xdr:row>
          <xdr:rowOff>161925</xdr:rowOff>
        </xdr:from>
        <xdr:to>
          <xdr:col>0</xdr:col>
          <xdr:colOff>914400</xdr:colOff>
          <xdr:row>31</xdr:row>
          <xdr:rowOff>0</xdr:rowOff>
        </xdr:to>
        <xdr:sp macro="" textlink="">
          <xdr:nvSpPr>
            <xdr:cNvPr id="1085" name="Label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팀원: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30</xdr:row>
          <xdr:rowOff>9525</xdr:rowOff>
        </xdr:from>
        <xdr:to>
          <xdr:col>0</xdr:col>
          <xdr:colOff>1790700</xdr:colOff>
          <xdr:row>30</xdr:row>
          <xdr:rowOff>209550</xdr:rowOff>
        </xdr:to>
        <xdr:sp macro="" textlink="">
          <xdr:nvSpPr>
            <xdr:cNvPr id="1088" name="Drop Dow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1828800</xdr:colOff>
          <xdr:row>29</xdr:row>
          <xdr:rowOff>142875</xdr:rowOff>
        </xdr:from>
        <xdr:to>
          <xdr:col>1</xdr:col>
          <xdr:colOff>104775</xdr:colOff>
          <xdr:row>31</xdr:row>
          <xdr:rowOff>9525</xdr:rowOff>
        </xdr:to>
        <xdr:sp macro="" textlink="">
          <xdr:nvSpPr>
            <xdr:cNvPr id="1090" name="Label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팀장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31</xdr:row>
          <xdr:rowOff>57150</xdr:rowOff>
        </xdr:from>
        <xdr:to>
          <xdr:col>0</xdr:col>
          <xdr:colOff>1190625</xdr:colOff>
          <xdr:row>32</xdr:row>
          <xdr:rowOff>114300</xdr:rowOff>
        </xdr:to>
        <xdr:sp macro="" textlink="">
          <xdr:nvSpPr>
            <xdr:cNvPr id="1092" name="Label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담당 팀원: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31</xdr:row>
          <xdr:rowOff>123825</xdr:rowOff>
        </xdr:from>
        <xdr:to>
          <xdr:col>0</xdr:col>
          <xdr:colOff>1790700</xdr:colOff>
          <xdr:row>32</xdr:row>
          <xdr:rowOff>104775</xdr:rowOff>
        </xdr:to>
        <xdr:sp macro="" textlink="">
          <xdr:nvSpPr>
            <xdr:cNvPr id="1093" name="Drop Dow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33</xdr:row>
          <xdr:rowOff>57150</xdr:rowOff>
        </xdr:from>
        <xdr:to>
          <xdr:col>0</xdr:col>
          <xdr:colOff>1190625</xdr:colOff>
          <xdr:row>34</xdr:row>
          <xdr:rowOff>114300</xdr:rowOff>
        </xdr:to>
        <xdr:sp macro="" textlink="">
          <xdr:nvSpPr>
            <xdr:cNvPr id="1094" name="Label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담당 팀원: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33</xdr:row>
          <xdr:rowOff>123825</xdr:rowOff>
        </xdr:from>
        <xdr:to>
          <xdr:col>0</xdr:col>
          <xdr:colOff>1790700</xdr:colOff>
          <xdr:row>34</xdr:row>
          <xdr:rowOff>104775</xdr:rowOff>
        </xdr:to>
        <xdr:sp macro="" textlink="">
          <xdr:nvSpPr>
            <xdr:cNvPr id="1095" name="Drop Dow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35</xdr:row>
          <xdr:rowOff>57150</xdr:rowOff>
        </xdr:from>
        <xdr:to>
          <xdr:col>0</xdr:col>
          <xdr:colOff>1190625</xdr:colOff>
          <xdr:row>36</xdr:row>
          <xdr:rowOff>114300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담당 팀원: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35</xdr:row>
          <xdr:rowOff>123825</xdr:rowOff>
        </xdr:from>
        <xdr:to>
          <xdr:col>0</xdr:col>
          <xdr:colOff>1790700</xdr:colOff>
          <xdr:row>36</xdr:row>
          <xdr:rowOff>104775</xdr:rowOff>
        </xdr:to>
        <xdr:sp macro="" textlink="">
          <xdr:nvSpPr>
            <xdr:cNvPr id="1097" name="Drop Dow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37</xdr:row>
          <xdr:rowOff>66675</xdr:rowOff>
        </xdr:from>
        <xdr:to>
          <xdr:col>0</xdr:col>
          <xdr:colOff>1190625</xdr:colOff>
          <xdr:row>38</xdr:row>
          <xdr:rowOff>114300</xdr:rowOff>
        </xdr:to>
        <xdr:sp macro="" textlink="">
          <xdr:nvSpPr>
            <xdr:cNvPr id="1098" name="Label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담당 팀원: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1066800</xdr:colOff>
          <xdr:row>37</xdr:row>
          <xdr:rowOff>123825</xdr:rowOff>
        </xdr:from>
        <xdr:to>
          <xdr:col>0</xdr:col>
          <xdr:colOff>1790700</xdr:colOff>
          <xdr:row>38</xdr:row>
          <xdr:rowOff>104775</xdr:rowOff>
        </xdr:to>
        <xdr:sp macro="" textlink="">
          <xdr:nvSpPr>
            <xdr:cNvPr id="1099" name="Drop Dow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W46"/>
  <sheetViews>
    <sheetView tabSelected="1" zoomScaleNormal="100" workbookViewId="0">
      <selection activeCell="G27" sqref="G27"/>
    </sheetView>
  </sheetViews>
  <sheetFormatPr defaultRowHeight="16.5"/>
  <cols>
    <col min="1" max="1" width="32.125" customWidth="1"/>
    <col min="2" max="2" width="9.875" bestFit="1" customWidth="1"/>
    <col min="4" max="4" width="10.875" customWidth="1"/>
    <col min="6" max="6" width="9.875" bestFit="1" customWidth="1"/>
    <col min="8" max="8" width="9.75" bestFit="1" customWidth="1"/>
  </cols>
  <sheetData>
    <row r="2" spans="1:23" ht="31.5">
      <c r="A2" s="2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4" spans="1:23">
      <c r="A4" s="3" t="s">
        <v>1</v>
      </c>
      <c r="B4" s="3" t="s">
        <v>2</v>
      </c>
      <c r="C4" s="3" t="s">
        <v>3</v>
      </c>
      <c r="D4" s="6" t="s">
        <v>4</v>
      </c>
      <c r="E4" s="6" t="s">
        <v>5</v>
      </c>
      <c r="F4" s="6" t="s">
        <v>6</v>
      </c>
    </row>
    <row r="5" spans="1:23">
      <c r="A5" s="4" t="s">
        <v>7</v>
      </c>
      <c r="B5" s="5">
        <v>44652</v>
      </c>
      <c r="C5" s="9">
        <v>6</v>
      </c>
      <c r="D5" s="7">
        <f>SUM(B5,C5)</f>
        <v>44658</v>
      </c>
      <c r="E5" s="8">
        <v>1</v>
      </c>
      <c r="F5" s="13">
        <f>ROUNDUP(C5*E5, 0)</f>
        <v>6</v>
      </c>
    </row>
    <row r="6" spans="1:23">
      <c r="A6" s="4" t="s">
        <v>8</v>
      </c>
      <c r="B6" s="5">
        <v>44658</v>
      </c>
      <c r="C6" s="9">
        <v>7</v>
      </c>
      <c r="D6" s="7">
        <f t="shared" ref="D6:D13" si="0">SUM(B6,C6)</f>
        <v>44665</v>
      </c>
      <c r="E6" s="8">
        <v>1</v>
      </c>
      <c r="F6" s="13">
        <f t="shared" ref="F6:F13" si="1">ROUNDUP(C6*E6, 0)</f>
        <v>7</v>
      </c>
    </row>
    <row r="7" spans="1:23">
      <c r="A7" s="4" t="s">
        <v>9</v>
      </c>
      <c r="B7" s="5">
        <v>44665</v>
      </c>
      <c r="C7" s="9">
        <v>30</v>
      </c>
      <c r="D7" s="7">
        <f t="shared" si="0"/>
        <v>44695</v>
      </c>
      <c r="E7" s="8">
        <v>1</v>
      </c>
      <c r="F7" s="13">
        <f t="shared" si="1"/>
        <v>30</v>
      </c>
    </row>
    <row r="8" spans="1:23">
      <c r="A8" s="4" t="s">
        <v>10</v>
      </c>
      <c r="B8" s="5">
        <v>44695</v>
      </c>
      <c r="C8" s="9">
        <v>7</v>
      </c>
      <c r="D8" s="7">
        <f t="shared" si="0"/>
        <v>44702</v>
      </c>
      <c r="E8" s="8">
        <v>0.15</v>
      </c>
      <c r="F8" s="13">
        <f t="shared" si="1"/>
        <v>2</v>
      </c>
    </row>
    <row r="9" spans="1:23">
      <c r="A9" s="4" t="s">
        <v>11</v>
      </c>
      <c r="B9" s="5">
        <v>44707</v>
      </c>
      <c r="C9" s="9">
        <v>1</v>
      </c>
      <c r="D9" s="7">
        <f t="shared" si="0"/>
        <v>44708</v>
      </c>
      <c r="E9" s="8">
        <v>0</v>
      </c>
      <c r="F9" s="13">
        <f t="shared" si="1"/>
        <v>0</v>
      </c>
    </row>
    <row r="10" spans="1:23">
      <c r="A10" s="4" t="s">
        <v>12</v>
      </c>
      <c r="B10" s="5">
        <v>44708</v>
      </c>
      <c r="C10" s="9">
        <v>27</v>
      </c>
      <c r="D10" s="7">
        <f>SUM(B10,C10)</f>
        <v>44735</v>
      </c>
      <c r="E10" s="8">
        <f>AVERAGE(E17,E18,E20)</f>
        <v>0.83333333333333337</v>
      </c>
      <c r="F10" s="13">
        <f t="shared" si="1"/>
        <v>23</v>
      </c>
    </row>
    <row r="11" spans="1:23">
      <c r="A11" s="4" t="s">
        <v>13</v>
      </c>
      <c r="B11" s="5">
        <v>44727</v>
      </c>
      <c r="C11" s="9">
        <v>137</v>
      </c>
      <c r="D11" s="7">
        <f>SUM(B11,C11)</f>
        <v>44864</v>
      </c>
      <c r="E11" s="8">
        <f>AVERAGE(E19,E21,E22:E28)</f>
        <v>0.21666666666666667</v>
      </c>
      <c r="F11" s="13">
        <f t="shared" si="1"/>
        <v>30</v>
      </c>
    </row>
    <row r="12" spans="1:23">
      <c r="A12" s="4" t="s">
        <v>14</v>
      </c>
      <c r="B12" s="5">
        <v>44858</v>
      </c>
      <c r="C12" s="9">
        <v>7</v>
      </c>
      <c r="D12" s="7">
        <f>SUM(B12,C12)</f>
        <v>44865</v>
      </c>
      <c r="E12" s="8">
        <v>0</v>
      </c>
      <c r="F12" s="13">
        <f t="shared" si="1"/>
        <v>0</v>
      </c>
    </row>
    <row r="13" spans="1:23">
      <c r="A13" s="4" t="s">
        <v>15</v>
      </c>
      <c r="B13" s="5">
        <v>44865</v>
      </c>
      <c r="C13" s="9">
        <v>1</v>
      </c>
      <c r="D13" s="7">
        <f t="shared" si="0"/>
        <v>44866</v>
      </c>
      <c r="E13" s="8">
        <v>0</v>
      </c>
      <c r="F13" s="13">
        <f t="shared" si="1"/>
        <v>0</v>
      </c>
    </row>
    <row r="16" spans="1:23">
      <c r="A16" s="3" t="s">
        <v>1</v>
      </c>
      <c r="B16" s="3" t="s">
        <v>2</v>
      </c>
      <c r="C16" s="3" t="s">
        <v>3</v>
      </c>
      <c r="D16" s="11" t="s">
        <v>4</v>
      </c>
      <c r="E16" s="6" t="s">
        <v>5</v>
      </c>
      <c r="F16" s="6" t="s">
        <v>6</v>
      </c>
    </row>
    <row r="17" spans="1:6">
      <c r="A17" s="4" t="s">
        <v>16</v>
      </c>
      <c r="B17" s="5">
        <v>44708</v>
      </c>
      <c r="C17" s="14">
        <v>7</v>
      </c>
      <c r="D17" s="12">
        <f>SUM(B17,C17)</f>
        <v>44715</v>
      </c>
      <c r="E17" s="8">
        <v>1</v>
      </c>
      <c r="F17" s="10">
        <f>ROUNDUP(C17*E17,0)</f>
        <v>7</v>
      </c>
    </row>
    <row r="18" spans="1:6">
      <c r="A18" s="4" t="s">
        <v>26</v>
      </c>
      <c r="B18" s="5">
        <v>44708</v>
      </c>
      <c r="C18" s="14">
        <v>4</v>
      </c>
      <c r="D18" s="12">
        <f>SUM(B18,C18)</f>
        <v>44712</v>
      </c>
      <c r="E18" s="8">
        <v>0.75</v>
      </c>
      <c r="F18" s="10">
        <f t="shared" ref="F18:F28" si="2">ROUNDUP(C18*E18,0)</f>
        <v>3</v>
      </c>
    </row>
    <row r="19" spans="1:6">
      <c r="A19" s="4" t="s">
        <v>27</v>
      </c>
      <c r="B19" s="5">
        <v>44712</v>
      </c>
      <c r="C19" s="14">
        <v>10</v>
      </c>
      <c r="D19" s="12">
        <f t="shared" ref="D19:D27" si="3">SUM(B19,C19)</f>
        <v>44722</v>
      </c>
      <c r="E19" s="8">
        <v>0.75</v>
      </c>
      <c r="F19" s="10">
        <f t="shared" si="2"/>
        <v>8</v>
      </c>
    </row>
    <row r="20" spans="1:6">
      <c r="A20" s="4" t="s">
        <v>17</v>
      </c>
      <c r="B20" s="5">
        <v>44714</v>
      </c>
      <c r="C20" s="14">
        <v>14</v>
      </c>
      <c r="D20" s="12">
        <f t="shared" si="3"/>
        <v>44728</v>
      </c>
      <c r="E20" s="8">
        <v>0.75</v>
      </c>
      <c r="F20" s="10">
        <f t="shared" si="2"/>
        <v>11</v>
      </c>
    </row>
    <row r="21" spans="1:6">
      <c r="A21" s="4" t="s">
        <v>18</v>
      </c>
      <c r="B21" s="5">
        <v>44727</v>
      </c>
      <c r="C21" s="14">
        <v>20</v>
      </c>
      <c r="D21" s="12">
        <f t="shared" si="3"/>
        <v>44747</v>
      </c>
      <c r="E21" s="8">
        <v>0.25</v>
      </c>
      <c r="F21" s="10">
        <f t="shared" si="2"/>
        <v>5</v>
      </c>
    </row>
    <row r="22" spans="1:6">
      <c r="A22" s="4" t="s">
        <v>19</v>
      </c>
      <c r="B22" s="5">
        <v>44747</v>
      </c>
      <c r="C22" s="14">
        <v>14</v>
      </c>
      <c r="D22" s="12">
        <f t="shared" si="3"/>
        <v>44761</v>
      </c>
      <c r="E22" s="8">
        <v>0.3</v>
      </c>
      <c r="F22" s="10">
        <f t="shared" si="2"/>
        <v>5</v>
      </c>
    </row>
    <row r="23" spans="1:6">
      <c r="A23" s="4" t="s">
        <v>20</v>
      </c>
      <c r="B23" s="5">
        <v>44762</v>
      </c>
      <c r="C23" s="14">
        <v>28</v>
      </c>
      <c r="D23" s="12">
        <f t="shared" si="3"/>
        <v>44790</v>
      </c>
      <c r="E23" s="8">
        <v>0.1</v>
      </c>
      <c r="F23" s="10">
        <f t="shared" si="2"/>
        <v>3</v>
      </c>
    </row>
    <row r="24" spans="1:6">
      <c r="A24" s="4" t="s">
        <v>21</v>
      </c>
      <c r="B24" s="5">
        <v>44792</v>
      </c>
      <c r="C24" s="14">
        <v>14</v>
      </c>
      <c r="D24" s="12">
        <f t="shared" si="3"/>
        <v>44806</v>
      </c>
      <c r="E24" s="8">
        <v>0</v>
      </c>
      <c r="F24" s="10">
        <f t="shared" si="2"/>
        <v>0</v>
      </c>
    </row>
    <row r="25" spans="1:6">
      <c r="A25" s="4" t="s">
        <v>22</v>
      </c>
      <c r="B25" s="5">
        <v>44807</v>
      </c>
      <c r="C25" s="14">
        <v>7</v>
      </c>
      <c r="D25" s="12">
        <f t="shared" si="3"/>
        <v>44814</v>
      </c>
      <c r="E25" s="8">
        <v>0</v>
      </c>
      <c r="F25" s="10">
        <f t="shared" si="2"/>
        <v>0</v>
      </c>
    </row>
    <row r="26" spans="1:6">
      <c r="A26" s="4" t="s">
        <v>23</v>
      </c>
      <c r="B26" s="5">
        <v>44815</v>
      </c>
      <c r="C26" s="14">
        <v>14</v>
      </c>
      <c r="D26" s="12">
        <f t="shared" si="3"/>
        <v>44829</v>
      </c>
      <c r="E26" s="8">
        <v>0.45</v>
      </c>
      <c r="F26" s="10">
        <f t="shared" si="2"/>
        <v>7</v>
      </c>
    </row>
    <row r="27" spans="1:6">
      <c r="A27" s="4" t="s">
        <v>24</v>
      </c>
      <c r="B27" s="5">
        <v>44830</v>
      </c>
      <c r="C27" s="14">
        <v>21</v>
      </c>
      <c r="D27" s="12">
        <f t="shared" si="3"/>
        <v>44851</v>
      </c>
      <c r="E27" s="8">
        <v>0.1</v>
      </c>
      <c r="F27" s="10">
        <f t="shared" si="2"/>
        <v>3</v>
      </c>
    </row>
    <row r="28" spans="1:6">
      <c r="A28" s="4" t="s">
        <v>25</v>
      </c>
      <c r="B28" s="5">
        <v>44851</v>
      </c>
      <c r="C28" s="14">
        <v>7</v>
      </c>
      <c r="D28" s="12">
        <f>SUM(B28,C28)</f>
        <v>44858</v>
      </c>
      <c r="E28" s="8">
        <v>0</v>
      </c>
      <c r="F28" s="10">
        <f t="shared" si="2"/>
        <v>0</v>
      </c>
    </row>
    <row r="40" spans="2:8">
      <c r="H40" s="18" t="s">
        <v>37</v>
      </c>
    </row>
    <row r="41" spans="2:8">
      <c r="B41" s="16" t="s">
        <v>28</v>
      </c>
      <c r="C41" s="16" t="s">
        <v>29</v>
      </c>
      <c r="D41" s="16" t="s">
        <v>31</v>
      </c>
      <c r="E41" s="16" t="s">
        <v>34</v>
      </c>
      <c r="F41" s="16" t="s">
        <v>30</v>
      </c>
      <c r="G41" s="16" t="s">
        <v>35</v>
      </c>
      <c r="H41" s="16" t="s">
        <v>36</v>
      </c>
    </row>
    <row r="42" spans="2:8">
      <c r="B42" s="16" t="str">
        <f>Sheet2!C6</f>
        <v>요구명세</v>
      </c>
      <c r="C42" s="17" t="str">
        <f>IF(Sheet2!D6,"O","X")</f>
        <v>O</v>
      </c>
      <c r="D42" s="17">
        <f>CHOOSE(Sheet2!F6,1,2,3)</f>
        <v>2</v>
      </c>
      <c r="E42" s="17">
        <f>IF(Sheet2!D6,VLOOKUP(B42,Sheet2!C12:E15,2,FALSE),0)</f>
        <v>300</v>
      </c>
      <c r="F42" s="17" t="str">
        <f>IF(Sheet2!D6,IF(Sheet2!E6,"O","X"),"X")</f>
        <v>O</v>
      </c>
      <c r="G42" s="17">
        <f>IF(Sheet2!D6,VLOOKUP(B42,Sheet2!C12:E15,3,FALSE),0)</f>
        <v>60</v>
      </c>
      <c r="H42" s="19">
        <f>E42*G42</f>
        <v>18000</v>
      </c>
    </row>
    <row r="43" spans="2:8">
      <c r="B43" s="16" t="str">
        <f>Sheet2!C7</f>
        <v>설계</v>
      </c>
      <c r="C43" s="17" t="str">
        <f>IF(Sheet2!D7,"O","X")</f>
        <v>O</v>
      </c>
      <c r="D43" s="17">
        <f>CHOOSE(Sheet2!F7,1,2,3)</f>
        <v>3</v>
      </c>
      <c r="E43" s="17">
        <f>IF(Sheet2!D7,VLOOKUP(B43,Sheet2!C13:E16,2,FALSE),0)</f>
        <v>120</v>
      </c>
      <c r="F43" s="17" t="str">
        <f>IF(Sheet2!D7,IF(Sheet2!E7,"O","X"),"X")</f>
        <v>X</v>
      </c>
      <c r="G43" s="17">
        <f>IF(Sheet2!D7,VLOOKUP(B43,Sheet2!C13:E16,3,FALSE),0)</f>
        <v>69</v>
      </c>
      <c r="H43" s="19">
        <f t="shared" ref="H43:H45" si="4">E43*G43</f>
        <v>8280</v>
      </c>
    </row>
    <row r="44" spans="2:8">
      <c r="B44" s="16" t="str">
        <f>Sheet2!C8</f>
        <v>구현</v>
      </c>
      <c r="C44" s="17" t="str">
        <f>IF(Sheet2!D8,"O","X")</f>
        <v>O</v>
      </c>
      <c r="D44" s="17">
        <f>CHOOSE(Sheet2!F8,1,2,3)</f>
        <v>3</v>
      </c>
      <c r="E44" s="17">
        <f>IF(Sheet2!D8,VLOOKUP(B44,Sheet2!C14:E17,2,FALSE),0)</f>
        <v>500</v>
      </c>
      <c r="F44" s="17" t="str">
        <f>IF(Sheet2!D8,IF(Sheet2!E8,"O","X"),"X")</f>
        <v>X</v>
      </c>
      <c r="G44" s="17">
        <f>IF(Sheet2!D8,VLOOKUP(B44,Sheet2!C14:E17,3,FALSE),0)</f>
        <v>90</v>
      </c>
      <c r="H44" s="19">
        <f t="shared" si="4"/>
        <v>45000</v>
      </c>
    </row>
    <row r="45" spans="2:8">
      <c r="B45" s="16" t="str">
        <f>Sheet2!C9</f>
        <v>교육</v>
      </c>
      <c r="C45" s="17" t="str">
        <f>IF(Sheet2!D9,"O","X")</f>
        <v>O</v>
      </c>
      <c r="D45" s="17">
        <f>CHOOSE(Sheet2!F9,1,2,3)</f>
        <v>1</v>
      </c>
      <c r="E45" s="17">
        <f>IF(Sheet2!D9,VLOOKUP(B45,Sheet2!C15:E18,2,FALSE),0)</f>
        <v>30</v>
      </c>
      <c r="F45" s="17" t="str">
        <f>IF(Sheet2!D9,IF(Sheet2!E9,"O","X"),"X")</f>
        <v>X</v>
      </c>
      <c r="G45" s="17">
        <f>IF(Sheet2!D9,VLOOKUP(B45,Sheet2!C15:E18,3,FALSE),0)</f>
        <v>30</v>
      </c>
      <c r="H45" s="19">
        <f t="shared" si="4"/>
        <v>900</v>
      </c>
    </row>
    <row r="46" spans="2:8">
      <c r="H46" s="20">
        <f>SUM(H42:H45)</f>
        <v>72180</v>
      </c>
    </row>
  </sheetData>
  <phoneticPr fontId="2" type="noConversion"/>
  <pageMargins left="0.7" right="0.7" top="0.75" bottom="0.75" header="0.3" footer="0.3"/>
  <pageSetup paperSize="9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466725</xdr:colOff>
                    <xdr:row>3</xdr:row>
                    <xdr:rowOff>209550</xdr:rowOff>
                  </from>
                  <to>
                    <xdr:col>3</xdr:col>
                    <xdr:colOff>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2</xdr:col>
                    <xdr:colOff>466725</xdr:colOff>
                    <xdr:row>4</xdr:row>
                    <xdr:rowOff>200025</xdr:rowOff>
                  </from>
                  <to>
                    <xdr:col>3</xdr:col>
                    <xdr:colOff>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pinner 4">
              <controlPr defaultSize="0" autoPict="0">
                <anchor moveWithCells="1" sizeWithCells="1">
                  <from>
                    <xdr:col>2</xdr:col>
                    <xdr:colOff>466725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pinner 5">
              <controlPr defaultSize="0" autoPict="0">
                <anchor moveWithCells="1" sizeWithCells="1">
                  <from>
                    <xdr:col>2</xdr:col>
                    <xdr:colOff>466725</xdr:colOff>
                    <xdr:row>6</xdr:row>
                    <xdr:rowOff>200025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Spinner 6">
              <controlPr defaultSize="0" autoPict="0">
                <anchor moveWithCells="1" sizeWithCells="1">
                  <from>
                    <xdr:col>2</xdr:col>
                    <xdr:colOff>466725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Spinner 7">
              <controlPr defaultSize="0" autoPict="0">
                <anchor moveWithCells="1" sizeWithCells="1">
                  <from>
                    <xdr:col>2</xdr:col>
                    <xdr:colOff>466725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Spinner 8">
              <controlPr defaultSize="0" autoPict="0">
                <anchor moveWithCells="1" sizeWithCells="1">
                  <from>
                    <xdr:col>2</xdr:col>
                    <xdr:colOff>466725</xdr:colOff>
                    <xdr:row>9</xdr:row>
                    <xdr:rowOff>200025</xdr:rowOff>
                  </from>
                  <to>
                    <xdr:col>3</xdr:col>
                    <xdr:colOff>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Spinner 9">
              <controlPr defaultSize="0" autoPict="0">
                <anchor moveWithCells="1" sizeWithCells="1">
                  <from>
                    <xdr:col>2</xdr:col>
                    <xdr:colOff>466725</xdr:colOff>
                    <xdr:row>11</xdr:row>
                    <xdr:rowOff>9525</xdr:rowOff>
                  </from>
                  <to>
                    <xdr:col>3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Spinner 10">
              <controlPr defaultSize="0" autoPict="0">
                <anchor moveWithCells="1" sizeWithCells="1">
                  <from>
                    <xdr:col>2</xdr:col>
                    <xdr:colOff>466725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Spinner 11">
              <controlPr defaultSize="0" autoPict="0">
                <anchor moveWithCells="1" sizeWithCells="1">
                  <from>
                    <xdr:col>2</xdr:col>
                    <xdr:colOff>466725</xdr:colOff>
                    <xdr:row>16</xdr:row>
                    <xdr:rowOff>9525</xdr:rowOff>
                  </from>
                  <to>
                    <xdr:col>3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Spinner 12">
              <controlPr defaultSize="0" autoPict="0">
                <anchor moveWithCells="1" sizeWithCells="1">
                  <from>
                    <xdr:col>2</xdr:col>
                    <xdr:colOff>466725</xdr:colOff>
                    <xdr:row>17</xdr:row>
                    <xdr:rowOff>9525</xdr:rowOff>
                  </from>
                  <to>
                    <xdr:col>3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Spinner 13">
              <controlPr defaultSize="0" autoPict="0">
                <anchor moveWithCells="1" sizeWithCells="1">
                  <from>
                    <xdr:col>2</xdr:col>
                    <xdr:colOff>466725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Spinner 14">
              <controlPr defaultSize="0" autoPict="0">
                <anchor moveWithCells="1" sizeWithCells="1">
                  <from>
                    <xdr:col>2</xdr:col>
                    <xdr:colOff>466725</xdr:colOff>
                    <xdr:row>19</xdr:row>
                    <xdr:rowOff>0</xdr:rowOff>
                  </from>
                  <to>
                    <xdr:col>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Spinner 15">
              <controlPr defaultSize="0" autoPict="0">
                <anchor moveWithCells="1" sizeWithCells="1">
                  <from>
                    <xdr:col>2</xdr:col>
                    <xdr:colOff>466725</xdr:colOff>
                    <xdr:row>20</xdr:row>
                    <xdr:rowOff>9525</xdr:rowOff>
                  </from>
                  <to>
                    <xdr:col>3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Spinner 16">
              <controlPr defaultSize="0" autoPict="0">
                <anchor moveWithCells="1" sizeWithCells="1">
                  <from>
                    <xdr:col>2</xdr:col>
                    <xdr:colOff>466725</xdr:colOff>
                    <xdr:row>21</xdr:row>
                    <xdr:rowOff>9525</xdr:rowOff>
                  </from>
                  <to>
                    <xdr:col>3</xdr:col>
                    <xdr:colOff>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Spinner 17">
              <controlPr defaultSize="0" autoPict="0">
                <anchor moveWithCells="1" sizeWithCells="1">
                  <from>
                    <xdr:col>2</xdr:col>
                    <xdr:colOff>466725</xdr:colOff>
                    <xdr:row>21</xdr:row>
                    <xdr:rowOff>209550</xdr:rowOff>
                  </from>
                  <to>
                    <xdr:col>3</xdr:col>
                    <xdr:colOff>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Spinner 18">
              <controlPr defaultSize="0" autoPict="0">
                <anchor moveWithCells="1" sizeWithCells="1">
                  <from>
                    <xdr:col>2</xdr:col>
                    <xdr:colOff>466725</xdr:colOff>
                    <xdr:row>22</xdr:row>
                    <xdr:rowOff>209550</xdr:rowOff>
                  </from>
                  <to>
                    <xdr:col>3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pinner 19">
              <controlPr defaultSize="0" autoPict="0">
                <anchor moveWithCells="1" sizeWithCells="1">
                  <from>
                    <xdr:col>2</xdr:col>
                    <xdr:colOff>466725</xdr:colOff>
                    <xdr:row>23</xdr:row>
                    <xdr:rowOff>209550</xdr:rowOff>
                  </from>
                  <to>
                    <xdr:col>3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pinner 20">
              <controlPr defaultSize="0" autoPict="0">
                <anchor moveWithCells="1" sizeWithCells="1">
                  <from>
                    <xdr:col>2</xdr:col>
                    <xdr:colOff>466725</xdr:colOff>
                    <xdr:row>24</xdr:row>
                    <xdr:rowOff>209550</xdr:rowOff>
                  </from>
                  <to>
                    <xdr:col>3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Spinner 21">
              <controlPr defaultSize="0" autoPict="0">
                <anchor moveWithCells="1" sizeWithCells="1">
                  <from>
                    <xdr:col>2</xdr:col>
                    <xdr:colOff>466725</xdr:colOff>
                    <xdr:row>25</xdr:row>
                    <xdr:rowOff>209550</xdr:rowOff>
                  </from>
                  <to>
                    <xdr:col>3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Spinner 22">
              <controlPr defaultSize="0" autoPict="0">
                <anchor moveWithCells="1" sizeWithCells="1">
                  <from>
                    <xdr:col>2</xdr:col>
                    <xdr:colOff>466725</xdr:colOff>
                    <xdr:row>27</xdr:row>
                    <xdr:rowOff>9525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5" name="Group Box 38">
              <controlPr defaultSize="0" autoFill="0" autoPict="0">
                <anchor moveWithCells="1">
                  <from>
                    <xdr:col>1</xdr:col>
                    <xdr:colOff>247650</xdr:colOff>
                    <xdr:row>30</xdr:row>
                    <xdr:rowOff>9525</xdr:rowOff>
                  </from>
                  <to>
                    <xdr:col>3</xdr:col>
                    <xdr:colOff>819150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6" name="Check Box 39">
              <controlPr defaultSize="0" autoFill="0" autoLine="0" autoPict="0">
                <anchor moveWithCells="1">
                  <from>
                    <xdr:col>1</xdr:col>
                    <xdr:colOff>247650</xdr:colOff>
                    <xdr:row>31</xdr:row>
                    <xdr:rowOff>95250</xdr:rowOff>
                  </from>
                  <to>
                    <xdr:col>2</xdr:col>
                    <xdr:colOff>285750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7" name="Check Box 40">
              <controlPr defaultSize="0" autoFill="0" autoLine="0" autoPict="0">
                <anchor moveWithCells="1">
                  <from>
                    <xdr:col>1</xdr:col>
                    <xdr:colOff>247650</xdr:colOff>
                    <xdr:row>33</xdr:row>
                    <xdr:rowOff>85725</xdr:rowOff>
                  </from>
                  <to>
                    <xdr:col>2</xdr:col>
                    <xdr:colOff>190500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8" name="Check Box 41">
              <controlPr defaultSize="0" autoFill="0" autoLine="0" autoPict="0">
                <anchor moveWithCells="1">
                  <from>
                    <xdr:col>1</xdr:col>
                    <xdr:colOff>247650</xdr:colOff>
                    <xdr:row>35</xdr:row>
                    <xdr:rowOff>85725</xdr:rowOff>
                  </from>
                  <to>
                    <xdr:col>2</xdr:col>
                    <xdr:colOff>190500</xdr:colOff>
                    <xdr:row>36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9" name="Check Box 42">
              <controlPr defaultSize="0" autoFill="0" autoLine="0" autoPict="0">
                <anchor moveWithCells="1">
                  <from>
                    <xdr:col>1</xdr:col>
                    <xdr:colOff>257175</xdr:colOff>
                    <xdr:row>37</xdr:row>
                    <xdr:rowOff>76200</xdr:rowOff>
                  </from>
                  <to>
                    <xdr:col>2</xdr:col>
                    <xdr:colOff>190500</xdr:colOff>
                    <xdr:row>38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0" name="Group Box 43">
              <controlPr defaultSize="0" autoFill="0" autoPict="0">
                <anchor mov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1" name="Check Box 44">
              <controlPr defaultSize="0" autoFill="0" autoLine="0" autoPict="0">
                <anchor moveWithCells="1">
                  <from>
                    <xdr:col>8</xdr:col>
                    <xdr:colOff>9525</xdr:colOff>
                    <xdr:row>31</xdr:row>
                    <xdr:rowOff>95250</xdr:rowOff>
                  </from>
                  <to>
                    <xdr:col>9</xdr:col>
                    <xdr:colOff>133350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2" name="Check Box 45">
              <controlPr defaultSize="0" autoFill="0" autoLine="0" autoPict="0">
                <anchor moveWithCells="1">
                  <from>
                    <xdr:col>8</xdr:col>
                    <xdr:colOff>9525</xdr:colOff>
                    <xdr:row>33</xdr:row>
                    <xdr:rowOff>85725</xdr:rowOff>
                  </from>
                  <to>
                    <xdr:col>9</xdr:col>
                    <xdr:colOff>47625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3" name="Check Box 46">
              <controlPr defaultSize="0" autoFill="0" autoLine="0" autoPict="0">
                <anchor moveWithCells="1">
                  <from>
                    <xdr:col>8</xdr:col>
                    <xdr:colOff>9525</xdr:colOff>
                    <xdr:row>35</xdr:row>
                    <xdr:rowOff>85725</xdr:rowOff>
                  </from>
                  <to>
                    <xdr:col>9</xdr:col>
                    <xdr:colOff>38100</xdr:colOff>
                    <xdr:row>36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4" name="Check Box 47">
              <controlPr defaultSize="0" autoFill="0" autoLine="0" autoPict="0">
                <anchor moveWithCells="1">
                  <from>
                    <xdr:col>8</xdr:col>
                    <xdr:colOff>9525</xdr:colOff>
                    <xdr:row>37</xdr:row>
                    <xdr:rowOff>76200</xdr:rowOff>
                  </from>
                  <to>
                    <xdr:col>9</xdr:col>
                    <xdr:colOff>38100</xdr:colOff>
                    <xdr:row>38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5" name="Group Box 48">
              <controlPr defaultSize="0" autoFill="0" autoPict="0">
                <anchor moveWithCells="1">
                  <from>
                    <xdr:col>4</xdr:col>
                    <xdr:colOff>314325</xdr:colOff>
                    <xdr:row>30</xdr:row>
                    <xdr:rowOff>0</xdr:rowOff>
                  </from>
                  <to>
                    <xdr:col>7</xdr:col>
                    <xdr:colOff>295275</xdr:colOff>
                    <xdr:row>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6" name="Drop Down 49">
              <controlPr defaultSize="0" autoLine="0" autoPict="0">
                <anchor moveWithCells="1">
                  <from>
                    <xdr:col>4</xdr:col>
                    <xdr:colOff>381000</xdr:colOff>
                    <xdr:row>31</xdr:row>
                    <xdr:rowOff>114300</xdr:rowOff>
                  </from>
                  <to>
                    <xdr:col>7</xdr:col>
                    <xdr:colOff>123825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7" name="Drop Down 50">
              <controlPr defaultSize="0" autoLine="0" autoPict="0">
                <anchor moveWithCells="1">
                  <from>
                    <xdr:col>4</xdr:col>
                    <xdr:colOff>381000</xdr:colOff>
                    <xdr:row>33</xdr:row>
                    <xdr:rowOff>152400</xdr:rowOff>
                  </from>
                  <to>
                    <xdr:col>7</xdr:col>
                    <xdr:colOff>123825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8" name="Drop Down 51">
              <controlPr defaultSize="0" autoLine="0" autoPict="0">
                <anchor moveWithCells="1">
                  <from>
                    <xdr:col>4</xdr:col>
                    <xdr:colOff>381000</xdr:colOff>
                    <xdr:row>35</xdr:row>
                    <xdr:rowOff>161925</xdr:rowOff>
                  </from>
                  <to>
                    <xdr:col>7</xdr:col>
                    <xdr:colOff>123825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9" name="Drop Down 52">
              <controlPr defaultSize="0" autoLine="0" autoPict="0">
                <anchor moveWithCells="1">
                  <from>
                    <xdr:col>4</xdr:col>
                    <xdr:colOff>371475</xdr:colOff>
                    <xdr:row>37</xdr:row>
                    <xdr:rowOff>133350</xdr:rowOff>
                  </from>
                  <to>
                    <xdr:col>7</xdr:col>
                    <xdr:colOff>123825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0" name="Group Box 56">
              <controlPr defaultSize="0" autoFill="0" autoPict="0">
                <anchor moveWithCells="1">
                  <from>
                    <xdr:col>0</xdr:col>
                    <xdr:colOff>476250</xdr:colOff>
                    <xdr:row>29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Label 60">
              <controlPr defaultSize="0" autoFill="0" autoLine="0" autoPict="0">
                <anchor moveWithCells="1" sizeWithCells="1">
                  <from>
                    <xdr:col>0</xdr:col>
                    <xdr:colOff>476250</xdr:colOff>
                    <xdr:row>31</xdr:row>
                    <xdr:rowOff>0</xdr:rowOff>
                  </from>
                  <to>
                    <xdr:col>0</xdr:col>
                    <xdr:colOff>1143000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Label 61">
              <controlPr defaultSize="0" autoFill="0" autoLine="0" autoPict="0">
                <anchor moveWithCells="1" sizeWithCells="1">
                  <from>
                    <xdr:col>0</xdr:col>
                    <xdr:colOff>485775</xdr:colOff>
                    <xdr:row>29</xdr:row>
                    <xdr:rowOff>161925</xdr:rowOff>
                  </from>
                  <to>
                    <xdr:col>0</xdr:col>
                    <xdr:colOff>914400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3" name="Drop Down 64">
              <controlPr defaultSize="0" autoLine="0" autoPict="0">
                <anchor moveWithCells="1">
                  <from>
                    <xdr:col>0</xdr:col>
                    <xdr:colOff>1066800</xdr:colOff>
                    <xdr:row>30</xdr:row>
                    <xdr:rowOff>9525</xdr:rowOff>
                  </from>
                  <to>
                    <xdr:col>0</xdr:col>
                    <xdr:colOff>1790700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4" name="Label 66">
              <controlPr defaultSize="0" autoFill="0" autoLine="0" autoPict="0">
                <anchor moveWithCells="1">
                  <from>
                    <xdr:col>0</xdr:col>
                    <xdr:colOff>1828800</xdr:colOff>
                    <xdr:row>29</xdr:row>
                    <xdr:rowOff>142875</xdr:rowOff>
                  </from>
                  <to>
                    <xdr:col>1</xdr:col>
                    <xdr:colOff>104775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5" name="Label 68">
              <controlPr defaultSize="0" autoFill="0" autoLine="0" autoPict="0">
                <anchor moveWithCells="1" sizeWithCells="1">
                  <from>
                    <xdr:col>0</xdr:col>
                    <xdr:colOff>485775</xdr:colOff>
                    <xdr:row>31</xdr:row>
                    <xdr:rowOff>57150</xdr:rowOff>
                  </from>
                  <to>
                    <xdr:col>0</xdr:col>
                    <xdr:colOff>1190625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6" name="Drop Down 69">
              <controlPr defaultSize="0" autoLine="0" autoPict="0">
                <anchor moveWithCells="1">
                  <from>
                    <xdr:col>0</xdr:col>
                    <xdr:colOff>1066800</xdr:colOff>
                    <xdr:row>31</xdr:row>
                    <xdr:rowOff>123825</xdr:rowOff>
                  </from>
                  <to>
                    <xdr:col>0</xdr:col>
                    <xdr:colOff>1790700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47" name="Label 70">
              <controlPr defaultSize="0" autoFill="0" autoLine="0" autoPict="0">
                <anchor moveWithCells="1" sizeWithCells="1">
                  <from>
                    <xdr:col>0</xdr:col>
                    <xdr:colOff>485775</xdr:colOff>
                    <xdr:row>33</xdr:row>
                    <xdr:rowOff>57150</xdr:rowOff>
                  </from>
                  <to>
                    <xdr:col>0</xdr:col>
                    <xdr:colOff>1190625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48" name="Drop Down 71">
              <controlPr defaultSize="0" autoLine="0" autoPict="0">
                <anchor moveWithCells="1">
                  <from>
                    <xdr:col>0</xdr:col>
                    <xdr:colOff>1066800</xdr:colOff>
                    <xdr:row>33</xdr:row>
                    <xdr:rowOff>123825</xdr:rowOff>
                  </from>
                  <to>
                    <xdr:col>0</xdr:col>
                    <xdr:colOff>1790700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49" name="Label 72">
              <controlPr defaultSize="0" autoFill="0" autoLine="0" autoPict="0">
                <anchor moveWithCells="1" sizeWithCells="1">
                  <from>
                    <xdr:col>0</xdr:col>
                    <xdr:colOff>485775</xdr:colOff>
                    <xdr:row>35</xdr:row>
                    <xdr:rowOff>57150</xdr:rowOff>
                  </from>
                  <to>
                    <xdr:col>0</xdr:col>
                    <xdr:colOff>1190625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0" name="Drop Down 73">
              <controlPr defaultSize="0" autoLine="0" autoPict="0">
                <anchor moveWithCells="1">
                  <from>
                    <xdr:col>0</xdr:col>
                    <xdr:colOff>1066800</xdr:colOff>
                    <xdr:row>35</xdr:row>
                    <xdr:rowOff>123825</xdr:rowOff>
                  </from>
                  <to>
                    <xdr:col>0</xdr:col>
                    <xdr:colOff>1790700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1" name="Label 74">
              <controlPr defaultSize="0" autoFill="0" autoLine="0" autoPict="0">
                <anchor moveWithCells="1" sizeWithCells="1">
                  <from>
                    <xdr:col>0</xdr:col>
                    <xdr:colOff>485775</xdr:colOff>
                    <xdr:row>37</xdr:row>
                    <xdr:rowOff>66675</xdr:rowOff>
                  </from>
                  <to>
                    <xdr:col>0</xdr:col>
                    <xdr:colOff>1190625</xdr:colOff>
                    <xdr:row>38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2" name="Drop Down 75">
              <controlPr defaultSize="0" autoLine="0" autoPict="0">
                <anchor moveWithCells="1">
                  <from>
                    <xdr:col>0</xdr:col>
                    <xdr:colOff>1066800</xdr:colOff>
                    <xdr:row>37</xdr:row>
                    <xdr:rowOff>123825</xdr:rowOff>
                  </from>
                  <to>
                    <xdr:col>0</xdr:col>
                    <xdr:colOff>1790700</xdr:colOff>
                    <xdr:row>38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H19"/>
  <sheetViews>
    <sheetView workbookViewId="0">
      <selection activeCell="E16" sqref="E16"/>
    </sheetView>
  </sheetViews>
  <sheetFormatPr defaultRowHeight="16.5"/>
  <sheetData>
    <row r="4" spans="1:8" ht="17.25" thickBot="1"/>
    <row r="5" spans="1:8" ht="17.25" thickBot="1">
      <c r="C5" s="15" t="s">
        <v>28</v>
      </c>
      <c r="D5" s="15" t="s">
        <v>29</v>
      </c>
      <c r="E5" s="15" t="s">
        <v>30</v>
      </c>
      <c r="F5" s="15" t="s">
        <v>31</v>
      </c>
      <c r="H5">
        <v>1</v>
      </c>
    </row>
    <row r="6" spans="1:8" ht="17.25" thickBot="1">
      <c r="C6" s="15" t="s">
        <v>32</v>
      </c>
      <c r="D6" s="15" t="b">
        <v>1</v>
      </c>
      <c r="E6" s="15" t="b">
        <v>1</v>
      </c>
      <c r="F6" s="15">
        <v>2</v>
      </c>
      <c r="H6">
        <v>2</v>
      </c>
    </row>
    <row r="7" spans="1:8" ht="17.25" thickBot="1">
      <c r="C7" s="15" t="s">
        <v>12</v>
      </c>
      <c r="D7" s="15" t="b">
        <f>IF(Sheet1!E10 &lt;&gt; 0%,TRUE,FALSE)</f>
        <v>1</v>
      </c>
      <c r="E7" s="15" t="b">
        <v>0</v>
      </c>
      <c r="F7" s="15">
        <v>3</v>
      </c>
      <c r="H7">
        <v>3</v>
      </c>
    </row>
    <row r="8" spans="1:8" ht="17.25" thickBot="1">
      <c r="C8" s="15" t="s">
        <v>13</v>
      </c>
      <c r="D8" s="15" t="b">
        <v>1</v>
      </c>
      <c r="E8" s="15" t="b">
        <v>0</v>
      </c>
      <c r="F8" s="15">
        <v>3</v>
      </c>
    </row>
    <row r="9" spans="1:8" ht="17.25" thickBot="1">
      <c r="C9" s="15" t="s">
        <v>33</v>
      </c>
      <c r="D9" s="15" t="b">
        <v>1</v>
      </c>
      <c r="E9" s="15" t="b">
        <v>0</v>
      </c>
      <c r="F9" s="15">
        <v>1</v>
      </c>
    </row>
    <row r="10" spans="1:8" ht="17.25" thickBot="1"/>
    <row r="11" spans="1:8" ht="17.25" thickBot="1">
      <c r="A11" t="s">
        <v>38</v>
      </c>
      <c r="C11" s="15" t="str">
        <f>C5</f>
        <v>활동</v>
      </c>
      <c r="D11" s="15" t="s">
        <v>34</v>
      </c>
      <c r="E11" s="15" t="s">
        <v>35</v>
      </c>
    </row>
    <row r="12" spans="1:8" ht="17.25" thickBot="1">
      <c r="A12">
        <v>1</v>
      </c>
      <c r="B12" t="str">
        <f>IF(A12 = 1,"팀장","팀원")</f>
        <v>팀장</v>
      </c>
      <c r="C12" s="15" t="str">
        <f t="shared" ref="C12:C15" si="0">C6</f>
        <v>요구명세</v>
      </c>
      <c r="D12" s="15">
        <v>300</v>
      </c>
      <c r="E12" s="15">
        <f>Sheet1!F7*Sheet2!F6</f>
        <v>60</v>
      </c>
    </row>
    <row r="13" spans="1:8" ht="17.25" thickBot="1">
      <c r="A13" t="s">
        <v>39</v>
      </c>
      <c r="C13" s="15" t="str">
        <f t="shared" si="0"/>
        <v>설계</v>
      </c>
      <c r="D13" s="15">
        <v>120</v>
      </c>
      <c r="E13" s="15">
        <f>Sheet1!F10*F7</f>
        <v>69</v>
      </c>
    </row>
    <row r="14" spans="1:8" ht="17.25" thickBot="1">
      <c r="A14" t="s">
        <v>40</v>
      </c>
      <c r="C14" s="15" t="str">
        <f t="shared" si="0"/>
        <v>구현</v>
      </c>
      <c r="D14" s="15">
        <v>500</v>
      </c>
      <c r="E14" s="15">
        <f>Sheet1!F11*F8</f>
        <v>90</v>
      </c>
    </row>
    <row r="15" spans="1:8" ht="17.25" thickBot="1">
      <c r="A15" t="s">
        <v>41</v>
      </c>
      <c r="C15" s="15" t="str">
        <f t="shared" si="0"/>
        <v>교육</v>
      </c>
      <c r="D15" s="15">
        <v>30</v>
      </c>
      <c r="E15" s="15">
        <f>D15*F9</f>
        <v>30</v>
      </c>
    </row>
    <row r="16" spans="1:8">
      <c r="A16">
        <v>2</v>
      </c>
    </row>
    <row r="17" spans="1:1">
      <c r="A17">
        <v>3</v>
      </c>
    </row>
    <row r="18" spans="1:1">
      <c r="A18">
        <v>2</v>
      </c>
    </row>
    <row r="19" spans="1:1">
      <c r="A19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123</dc:creator>
  <cp:lastModifiedBy>123</cp:lastModifiedBy>
  <cp:lastPrinted>2022-05-25T02:22:45Z</cp:lastPrinted>
  <dcterms:created xsi:type="dcterms:W3CDTF">2022-05-16T02:34:00Z</dcterms:created>
  <dcterms:modified xsi:type="dcterms:W3CDTF">2022-05-25T04:09:25Z</dcterms:modified>
</cp:coreProperties>
</file>